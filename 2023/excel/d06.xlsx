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git\AdventOfCode\2023\excel\"/>
    </mc:Choice>
  </mc:AlternateContent>
  <xr:revisionPtr revIDLastSave="0" documentId="13_ncr:1_{AADECADB-064B-4B85-8B6B-9794404A0A9D}" xr6:coauthVersionLast="47" xr6:coauthVersionMax="47" xr10:uidLastSave="{00000000-0000-0000-0000-000000000000}"/>
  <bookViews>
    <workbookView xWindow="-120" yWindow="-120" windowWidth="29040" windowHeight="15840" activeTab="2" xr2:uid="{DE9AB8B4-2716-4744-AD40-8FC4EBC34710}"/>
  </bookViews>
  <sheets>
    <sheet name="part 1" sheetId="2" r:id="rId1"/>
    <sheet name="part 2" sheetId="3" r:id="rId2"/>
    <sheet name="inpu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A1" i="3"/>
  <c r="H5" i="3" s="1"/>
  <c r="J2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2" i="2" s="1"/>
  <c r="H4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2" i="2" s="1"/>
  <c r="F6" i="2"/>
  <c r="F5" i="2"/>
  <c r="F4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2" i="2" s="1"/>
  <c r="D4" i="2"/>
  <c r="B34" i="2"/>
  <c r="B36" i="2"/>
  <c r="B53" i="2"/>
  <c r="B68" i="2"/>
  <c r="B69" i="2"/>
  <c r="B70" i="2"/>
  <c r="B83" i="2"/>
  <c r="A2" i="2"/>
  <c r="C2" i="2"/>
  <c r="E2" i="2"/>
  <c r="G2" i="2"/>
  <c r="C1" i="2"/>
  <c r="E1" i="2"/>
  <c r="G1" i="2"/>
  <c r="A1" i="2"/>
  <c r="B100" i="2" s="1"/>
  <c r="F5" i="3" l="1"/>
  <c r="G5" i="3" s="1"/>
  <c r="I5" i="3" s="1"/>
  <c r="C5" i="3"/>
  <c r="B5" i="3" s="1"/>
  <c r="D5" i="3" s="1"/>
  <c r="B50" i="2"/>
  <c r="B38" i="2"/>
  <c r="B37" i="2"/>
  <c r="B35" i="2"/>
  <c r="B22" i="2"/>
  <c r="B21" i="2"/>
  <c r="B6" i="2"/>
  <c r="B20" i="2"/>
  <c r="B5" i="2"/>
  <c r="B19" i="2"/>
  <c r="B84" i="2"/>
  <c r="B98" i="2"/>
  <c r="B67" i="2"/>
  <c r="B18" i="2"/>
  <c r="B66" i="2"/>
  <c r="B17" i="2"/>
  <c r="B54" i="2"/>
  <c r="B99" i="2"/>
  <c r="B52" i="2"/>
  <c r="B97" i="2"/>
  <c r="B51" i="2"/>
  <c r="B96" i="2"/>
  <c r="B82" i="2"/>
  <c r="B95" i="2"/>
  <c r="B94" i="2"/>
  <c r="B80" i="2"/>
  <c r="B64" i="2"/>
  <c r="B93" i="2"/>
  <c r="B79" i="2"/>
  <c r="B63" i="2"/>
  <c r="B47" i="2"/>
  <c r="B31" i="2"/>
  <c r="B15" i="2"/>
  <c r="B92" i="2"/>
  <c r="B78" i="2"/>
  <c r="B62" i="2"/>
  <c r="B46" i="2"/>
  <c r="B30" i="2"/>
  <c r="B14" i="2"/>
  <c r="B91" i="2"/>
  <c r="B81" i="2"/>
  <c r="B32" i="2"/>
  <c r="B77" i="2"/>
  <c r="B61" i="2"/>
  <c r="B45" i="2"/>
  <c r="B29" i="2"/>
  <c r="B13" i="2"/>
  <c r="B90" i="2"/>
  <c r="B65" i="2"/>
  <c r="B76" i="2"/>
  <c r="B60" i="2"/>
  <c r="B89" i="2"/>
  <c r="B75" i="2"/>
  <c r="B59" i="2"/>
  <c r="B43" i="2"/>
  <c r="B27" i="2"/>
  <c r="B11" i="2"/>
  <c r="B88" i="2"/>
  <c r="B44" i="2"/>
  <c r="B4" i="2"/>
  <c r="B2" i="2" s="1"/>
  <c r="B74" i="2"/>
  <c r="B58" i="2"/>
  <c r="B42" i="2"/>
  <c r="B26" i="2"/>
  <c r="B10" i="2"/>
  <c r="B87" i="2"/>
  <c r="B33" i="2"/>
  <c r="B16" i="2"/>
  <c r="B28" i="2"/>
  <c r="B9" i="2"/>
  <c r="B73" i="2"/>
  <c r="B57" i="2"/>
  <c r="B41" i="2"/>
  <c r="B25" i="2"/>
  <c r="B102" i="2"/>
  <c r="B86" i="2"/>
  <c r="B49" i="2"/>
  <c r="B48" i="2"/>
  <c r="B12" i="2"/>
  <c r="B8" i="2"/>
  <c r="B72" i="2"/>
  <c r="B56" i="2"/>
  <c r="B40" i="2"/>
  <c r="B24" i="2"/>
  <c r="B101" i="2"/>
  <c r="B85" i="2"/>
  <c r="B7" i="2"/>
  <c r="B71" i="2"/>
  <c r="B55" i="2"/>
  <c r="B39" i="2"/>
  <c r="B23" i="2"/>
  <c r="H6" i="3" l="1"/>
  <c r="F6" i="3"/>
  <c r="A6" i="3"/>
  <c r="C6" i="3"/>
  <c r="B6" i="3" s="1"/>
  <c r="D6" i="3" s="1"/>
  <c r="G6" i="3" l="1"/>
  <c r="I6" i="3" s="1"/>
  <c r="A7" i="3"/>
  <c r="C7" i="3"/>
  <c r="B7" i="3" s="1"/>
  <c r="D7" i="3" s="1"/>
  <c r="F7" i="3" l="1"/>
  <c r="H7" i="3"/>
  <c r="A8" i="3"/>
  <c r="C8" i="3"/>
  <c r="B8" i="3" s="1"/>
  <c r="D8" i="3" s="1"/>
  <c r="G7" i="3" l="1"/>
  <c r="I7" i="3" s="1"/>
  <c r="A9" i="3"/>
  <c r="C9" i="3"/>
  <c r="F8" i="3" l="1"/>
  <c r="H8" i="3"/>
  <c r="B9" i="3"/>
  <c r="D9" i="3" s="1"/>
  <c r="G8" i="3" l="1"/>
  <c r="I8" i="3" s="1"/>
  <c r="A10" i="3"/>
  <c r="C10" i="3"/>
  <c r="F9" i="3" l="1"/>
  <c r="H9" i="3"/>
  <c r="B10" i="3"/>
  <c r="D10" i="3" s="1"/>
  <c r="G9" i="3" l="1"/>
  <c r="I9" i="3" s="1"/>
  <c r="A11" i="3"/>
  <c r="C11" i="3"/>
  <c r="B11" i="3"/>
  <c r="D11" i="3" s="1"/>
  <c r="F10" i="3" l="1"/>
  <c r="H10" i="3"/>
  <c r="A12" i="3"/>
  <c r="C12" i="3"/>
  <c r="G10" i="3" l="1"/>
  <c r="I10" i="3" s="1"/>
  <c r="B12" i="3"/>
  <c r="D12" i="3" s="1"/>
  <c r="H11" i="3" l="1"/>
  <c r="F11" i="3"/>
  <c r="G11" i="3" s="1"/>
  <c r="I11" i="3" s="1"/>
  <c r="C13" i="3"/>
  <c r="A13" i="3"/>
  <c r="B13" i="3" s="1"/>
  <c r="D13" i="3" s="1"/>
  <c r="H12" i="3" l="1"/>
  <c r="F12" i="3"/>
  <c r="G12" i="3" s="1"/>
  <c r="A14" i="3"/>
  <c r="C14" i="3"/>
  <c r="I12" i="3" l="1"/>
  <c r="B14" i="3"/>
  <c r="D14" i="3" s="1"/>
  <c r="F13" i="3" l="1"/>
  <c r="H13" i="3"/>
  <c r="C15" i="3"/>
  <c r="A15" i="3"/>
  <c r="G13" i="3" l="1"/>
  <c r="I13" i="3" s="1"/>
  <c r="B15" i="3"/>
  <c r="D15" i="3" s="1"/>
  <c r="H14" i="3" l="1"/>
  <c r="F14" i="3"/>
  <c r="G14" i="3" s="1"/>
  <c r="C16" i="3"/>
  <c r="A16" i="3"/>
  <c r="B16" i="3" s="1"/>
  <c r="D16" i="3" s="1"/>
  <c r="I14" i="3" l="1"/>
  <c r="C17" i="3"/>
  <c r="A17" i="3"/>
  <c r="B17" i="3" s="1"/>
  <c r="D17" i="3" s="1"/>
  <c r="F15" i="3" l="1"/>
  <c r="H15" i="3"/>
  <c r="C18" i="3"/>
  <c r="A18" i="3"/>
  <c r="G15" i="3" l="1"/>
  <c r="I15" i="3" s="1"/>
  <c r="B18" i="3"/>
  <c r="D18" i="3" s="1"/>
  <c r="F16" i="3" l="1"/>
  <c r="H16" i="3"/>
  <c r="A19" i="3"/>
  <c r="C19" i="3"/>
  <c r="B19" i="3"/>
  <c r="D19" i="3" s="1"/>
  <c r="G16" i="3" l="1"/>
  <c r="I16" i="3" s="1"/>
  <c r="A20" i="3"/>
  <c r="C20" i="3"/>
  <c r="H17" i="3" l="1"/>
  <c r="F17" i="3"/>
  <c r="G17" i="3" s="1"/>
  <c r="I17" i="3" s="1"/>
  <c r="B20" i="3"/>
  <c r="D20" i="3" s="1"/>
  <c r="F18" i="3" l="1"/>
  <c r="H18" i="3"/>
  <c r="C21" i="3"/>
  <c r="A21" i="3"/>
  <c r="G18" i="3" l="1"/>
  <c r="I18" i="3" s="1"/>
  <c r="B21" i="3"/>
  <c r="D21" i="3" s="1"/>
  <c r="H19" i="3" l="1"/>
  <c r="F19" i="3"/>
  <c r="G19" i="3" s="1"/>
  <c r="I19" i="3" s="1"/>
  <c r="A22" i="3"/>
  <c r="C22" i="3"/>
  <c r="B22" i="3" s="1"/>
  <c r="D22" i="3" s="1"/>
  <c r="F20" i="3" l="1"/>
  <c r="H20" i="3"/>
  <c r="A23" i="3"/>
  <c r="C23" i="3"/>
  <c r="G20" i="3" l="1"/>
  <c r="I20" i="3" s="1"/>
  <c r="B23" i="3"/>
  <c r="D23" i="3" s="1"/>
  <c r="H21" i="3" l="1"/>
  <c r="F21" i="3"/>
  <c r="G21" i="3" s="1"/>
  <c r="C24" i="3"/>
  <c r="A24" i="3"/>
  <c r="I21" i="3" l="1"/>
  <c r="B24" i="3"/>
  <c r="D24" i="3" s="1"/>
  <c r="F22" i="3" l="1"/>
  <c r="H22" i="3"/>
  <c r="A25" i="3"/>
  <c r="C25" i="3"/>
  <c r="B25" i="3" s="1"/>
  <c r="D25" i="3" s="1"/>
  <c r="G22" i="3" l="1"/>
  <c r="I22" i="3" s="1"/>
  <c r="A26" i="3"/>
  <c r="C26" i="3"/>
  <c r="F23" i="3" l="1"/>
  <c r="H23" i="3"/>
  <c r="B26" i="3"/>
  <c r="D26" i="3" s="1"/>
  <c r="G23" i="3" l="1"/>
  <c r="I23" i="3" s="1"/>
  <c r="C27" i="3"/>
  <c r="A27" i="3"/>
  <c r="F24" i="3" l="1"/>
  <c r="H24" i="3"/>
  <c r="B27" i="3"/>
  <c r="D27" i="3" s="1"/>
  <c r="G24" i="3" l="1"/>
  <c r="I24" i="3" s="1"/>
  <c r="A28" i="3"/>
  <c r="C28" i="3"/>
  <c r="F25" i="3" l="1"/>
  <c r="H25" i="3"/>
  <c r="B28" i="3"/>
  <c r="D28" i="3" s="1"/>
  <c r="G25" i="3" l="1"/>
  <c r="I25" i="3" s="1"/>
  <c r="C29" i="3"/>
  <c r="A29" i="3"/>
  <c r="B29" i="3" s="1"/>
  <c r="D29" i="3" s="1"/>
  <c r="H26" i="3" l="1"/>
  <c r="F26" i="3"/>
  <c r="G26" i="3" s="1"/>
  <c r="I26" i="3" s="1"/>
  <c r="A30" i="3"/>
  <c r="C30" i="3"/>
  <c r="B30" i="3" s="1"/>
  <c r="D30" i="3" s="1"/>
  <c r="F27" i="3" l="1"/>
  <c r="H27" i="3"/>
  <c r="A31" i="3"/>
  <c r="C31" i="3"/>
  <c r="G27" i="3" l="1"/>
  <c r="I27" i="3" s="1"/>
  <c r="B31" i="3"/>
  <c r="D31" i="3" s="1"/>
  <c r="H28" i="3" l="1"/>
  <c r="F28" i="3"/>
  <c r="G28" i="3" s="1"/>
  <c r="I28" i="3" s="1"/>
  <c r="C32" i="3"/>
  <c r="A32" i="3"/>
  <c r="F29" i="3" l="1"/>
  <c r="H29" i="3"/>
  <c r="B32" i="3"/>
  <c r="D32" i="3" s="1"/>
  <c r="G29" i="3" l="1"/>
  <c r="I29" i="3" s="1"/>
  <c r="A33" i="3"/>
  <c r="C33" i="3"/>
  <c r="B33" i="3"/>
  <c r="D33" i="3" s="1"/>
  <c r="F30" i="3" l="1"/>
  <c r="H30" i="3"/>
  <c r="A34" i="3"/>
  <c r="C34" i="3"/>
  <c r="B34" i="3" l="1"/>
  <c r="D34" i="3" s="1"/>
  <c r="G30" i="3"/>
  <c r="I30" i="3" s="1"/>
  <c r="F31" i="3" l="1"/>
  <c r="H31" i="3"/>
  <c r="G31" i="3" l="1"/>
  <c r="I31" i="3" s="1"/>
  <c r="F32" i="3" l="1"/>
  <c r="H32" i="3"/>
  <c r="G32" i="3" l="1"/>
  <c r="I32" i="3" s="1"/>
  <c r="H33" i="3" l="1"/>
  <c r="F33" i="3"/>
  <c r="G33" i="3" l="1"/>
  <c r="I33" i="3" s="1"/>
  <c r="F34" i="3" l="1"/>
  <c r="H34" i="3"/>
  <c r="G34" i="3" l="1"/>
  <c r="I34" i="3" l="1"/>
  <c r="F2" i="3"/>
</calcChain>
</file>

<file path=xl/sharedStrings.xml><?xml version="1.0" encoding="utf-8"?>
<sst xmlns="http://schemas.openxmlformats.org/spreadsheetml/2006/main" count="10" uniqueCount="7">
  <si>
    <t>Time</t>
  </si>
  <si>
    <t>Distance</t>
  </si>
  <si>
    <t>l</t>
  </si>
  <si>
    <t>m</t>
  </si>
  <si>
    <t>r</t>
  </si>
  <si>
    <t>part 2</t>
  </si>
  <si>
    <t>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</si>
</sst>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306A-C515-4815-8EBE-4321D3623058}">
  <dimension ref="A1:J102"/>
  <sheetViews>
    <sheetView workbookViewId="0">
      <selection activeCell="J1" sqref="J1"/>
    </sheetView>
  </sheetViews>
  <sheetFormatPr defaultRowHeight="15" x14ac:dyDescent="0.25"/>
  <sheetData>
    <row r="1" spans="1:10" x14ac:dyDescent="0.25">
      <c r="A1">
        <f>input!B1</f>
        <v>49</v>
      </c>
      <c r="C1">
        <f>input!C1</f>
        <v>87</v>
      </c>
      <c r="E1">
        <f>input!D1</f>
        <v>78</v>
      </c>
      <c r="G1">
        <f>input!E1</f>
        <v>95</v>
      </c>
      <c r="J1" s="1" t="s">
        <v>6</v>
      </c>
    </row>
    <row r="2" spans="1:10" x14ac:dyDescent="0.25">
      <c r="A2">
        <f>input!B2</f>
        <v>356</v>
      </c>
      <c r="B2">
        <f>COUNTIF(B4:B99,"&gt;"&amp;A2)</f>
        <v>32</v>
      </c>
      <c r="C2">
        <f>input!C2</f>
        <v>1378</v>
      </c>
      <c r="D2">
        <f>COUNTIF(D4:D99,"&gt;"&amp;C2)</f>
        <v>46</v>
      </c>
      <c r="E2">
        <f>input!D2</f>
        <v>1502</v>
      </c>
      <c r="F2">
        <f>COUNTIF(F4:F99,"&gt;"&amp;E2)</f>
        <v>9</v>
      </c>
      <c r="G2">
        <f>input!E2</f>
        <v>1882</v>
      </c>
      <c r="H2">
        <f>COUNTIF(H4:H99,"&gt;"&amp;G2)</f>
        <v>38</v>
      </c>
      <c r="J2" s="1">
        <f>B2*D2*F2*H2</f>
        <v>503424</v>
      </c>
    </row>
    <row r="4" spans="1:10" x14ac:dyDescent="0.25">
      <c r="A4">
        <v>1</v>
      </c>
      <c r="B4">
        <f>IF(A4&lt;A$1,A4*(A$1-A4),0)</f>
        <v>48</v>
      </c>
      <c r="C4">
        <v>1</v>
      </c>
      <c r="D4">
        <f>IF(C4&lt;C$1,C4*(C$1-C4),0)</f>
        <v>86</v>
      </c>
      <c r="E4">
        <v>1</v>
      </c>
      <c r="F4">
        <f>IF(E4&lt;E$1,E4*(E$1-E4),0)</f>
        <v>77</v>
      </c>
      <c r="G4">
        <v>1</v>
      </c>
      <c r="H4">
        <f>IF(G4&lt;G$1,G4*(G$1-G4),0)</f>
        <v>94</v>
      </c>
    </row>
    <row r="5" spans="1:10" x14ac:dyDescent="0.25">
      <c r="A5">
        <v>2</v>
      </c>
      <c r="B5">
        <f t="shared" ref="B5:D68" si="0">IF(A5&lt;A$1,A5*(A$1-A5),0)</f>
        <v>94</v>
      </c>
      <c r="C5">
        <v>2</v>
      </c>
      <c r="D5">
        <f t="shared" si="0"/>
        <v>170</v>
      </c>
      <c r="E5">
        <v>2</v>
      </c>
      <c r="F5">
        <f t="shared" ref="F5" si="1">IF(E5&lt;E$1,E5*(E$1-E5),0)</f>
        <v>152</v>
      </c>
      <c r="G5">
        <v>2</v>
      </c>
      <c r="H5">
        <f t="shared" ref="H5" si="2">IF(G5&lt;G$1,G5*(G$1-G5),0)</f>
        <v>186</v>
      </c>
    </row>
    <row r="6" spans="1:10" x14ac:dyDescent="0.25">
      <c r="A6">
        <v>3</v>
      </c>
      <c r="B6">
        <f t="shared" si="0"/>
        <v>138</v>
      </c>
      <c r="C6">
        <v>3</v>
      </c>
      <c r="D6">
        <f t="shared" si="0"/>
        <v>252</v>
      </c>
      <c r="E6">
        <v>3</v>
      </c>
      <c r="F6">
        <f t="shared" ref="F6" si="3">IF(E6&lt;E$1,E6*(E$1-E6),0)</f>
        <v>225</v>
      </c>
      <c r="G6">
        <v>3</v>
      </c>
      <c r="H6">
        <f t="shared" ref="H6" si="4">IF(G6&lt;G$1,G6*(G$1-G6),0)</f>
        <v>276</v>
      </c>
    </row>
    <row r="7" spans="1:10" x14ac:dyDescent="0.25">
      <c r="A7">
        <v>4</v>
      </c>
      <c r="B7">
        <f t="shared" si="0"/>
        <v>180</v>
      </c>
      <c r="C7">
        <v>4</v>
      </c>
      <c r="D7">
        <f t="shared" si="0"/>
        <v>332</v>
      </c>
      <c r="E7">
        <v>4</v>
      </c>
      <c r="F7">
        <f t="shared" ref="F7" si="5">IF(E7&lt;E$1,E7*(E$1-E7),0)</f>
        <v>296</v>
      </c>
      <c r="G7">
        <v>4</v>
      </c>
      <c r="H7">
        <f t="shared" ref="H7" si="6">IF(G7&lt;G$1,G7*(G$1-G7),0)</f>
        <v>364</v>
      </c>
    </row>
    <row r="8" spans="1:10" x14ac:dyDescent="0.25">
      <c r="A8">
        <v>5</v>
      </c>
      <c r="B8">
        <f t="shared" si="0"/>
        <v>220</v>
      </c>
      <c r="C8">
        <v>5</v>
      </c>
      <c r="D8">
        <f t="shared" si="0"/>
        <v>410</v>
      </c>
      <c r="E8">
        <v>5</v>
      </c>
      <c r="F8">
        <f t="shared" ref="F8" si="7">IF(E8&lt;E$1,E8*(E$1-E8),0)</f>
        <v>365</v>
      </c>
      <c r="G8">
        <v>5</v>
      </c>
      <c r="H8">
        <f t="shared" ref="H8" si="8">IF(G8&lt;G$1,G8*(G$1-G8),0)</f>
        <v>450</v>
      </c>
    </row>
    <row r="9" spans="1:10" x14ac:dyDescent="0.25">
      <c r="A9">
        <v>6</v>
      </c>
      <c r="B9">
        <f t="shared" si="0"/>
        <v>258</v>
      </c>
      <c r="C9">
        <v>6</v>
      </c>
      <c r="D9">
        <f t="shared" si="0"/>
        <v>486</v>
      </c>
      <c r="E9">
        <v>6</v>
      </c>
      <c r="F9">
        <f t="shared" ref="F9" si="9">IF(E9&lt;E$1,E9*(E$1-E9),0)</f>
        <v>432</v>
      </c>
      <c r="G9">
        <v>6</v>
      </c>
      <c r="H9">
        <f t="shared" ref="H9" si="10">IF(G9&lt;G$1,G9*(G$1-G9),0)</f>
        <v>534</v>
      </c>
    </row>
    <row r="10" spans="1:10" x14ac:dyDescent="0.25">
      <c r="A10">
        <v>7</v>
      </c>
      <c r="B10">
        <f t="shared" si="0"/>
        <v>294</v>
      </c>
      <c r="C10">
        <v>7</v>
      </c>
      <c r="D10">
        <f t="shared" si="0"/>
        <v>560</v>
      </c>
      <c r="E10">
        <v>7</v>
      </c>
      <c r="F10">
        <f t="shared" ref="F10" si="11">IF(E10&lt;E$1,E10*(E$1-E10),0)</f>
        <v>497</v>
      </c>
      <c r="G10">
        <v>7</v>
      </c>
      <c r="H10">
        <f t="shared" ref="H10" si="12">IF(G10&lt;G$1,G10*(G$1-G10),0)</f>
        <v>616</v>
      </c>
    </row>
    <row r="11" spans="1:10" x14ac:dyDescent="0.25">
      <c r="A11">
        <v>8</v>
      </c>
      <c r="B11">
        <f t="shared" si="0"/>
        <v>328</v>
      </c>
      <c r="C11">
        <v>8</v>
      </c>
      <c r="D11">
        <f t="shared" si="0"/>
        <v>632</v>
      </c>
      <c r="E11">
        <v>8</v>
      </c>
      <c r="F11">
        <f t="shared" ref="F11" si="13">IF(E11&lt;E$1,E11*(E$1-E11),0)</f>
        <v>560</v>
      </c>
      <c r="G11">
        <v>8</v>
      </c>
      <c r="H11">
        <f t="shared" ref="H11" si="14">IF(G11&lt;G$1,G11*(G$1-G11),0)</f>
        <v>696</v>
      </c>
    </row>
    <row r="12" spans="1:10" x14ac:dyDescent="0.25">
      <c r="A12">
        <v>9</v>
      </c>
      <c r="B12">
        <f t="shared" si="0"/>
        <v>360</v>
      </c>
      <c r="C12">
        <v>9</v>
      </c>
      <c r="D12">
        <f t="shared" si="0"/>
        <v>702</v>
      </c>
      <c r="E12">
        <v>9</v>
      </c>
      <c r="F12">
        <f t="shared" ref="F12" si="15">IF(E12&lt;E$1,E12*(E$1-E12),0)</f>
        <v>621</v>
      </c>
      <c r="G12">
        <v>9</v>
      </c>
      <c r="H12">
        <f t="shared" ref="H12" si="16">IF(G12&lt;G$1,G12*(G$1-G12),0)</f>
        <v>774</v>
      </c>
    </row>
    <row r="13" spans="1:10" x14ac:dyDescent="0.25">
      <c r="A13">
        <v>10</v>
      </c>
      <c r="B13">
        <f t="shared" si="0"/>
        <v>390</v>
      </c>
      <c r="C13">
        <v>10</v>
      </c>
      <c r="D13">
        <f t="shared" si="0"/>
        <v>770</v>
      </c>
      <c r="E13">
        <v>10</v>
      </c>
      <c r="F13">
        <f t="shared" ref="F13" si="17">IF(E13&lt;E$1,E13*(E$1-E13),0)</f>
        <v>680</v>
      </c>
      <c r="G13">
        <v>10</v>
      </c>
      <c r="H13">
        <f t="shared" ref="H13" si="18">IF(G13&lt;G$1,G13*(G$1-G13),0)</f>
        <v>850</v>
      </c>
    </row>
    <row r="14" spans="1:10" x14ac:dyDescent="0.25">
      <c r="A14">
        <v>11</v>
      </c>
      <c r="B14">
        <f t="shared" si="0"/>
        <v>418</v>
      </c>
      <c r="C14">
        <v>11</v>
      </c>
      <c r="D14">
        <f t="shared" si="0"/>
        <v>836</v>
      </c>
      <c r="E14">
        <v>11</v>
      </c>
      <c r="F14">
        <f t="shared" ref="F14" si="19">IF(E14&lt;E$1,E14*(E$1-E14),0)</f>
        <v>737</v>
      </c>
      <c r="G14">
        <v>11</v>
      </c>
      <c r="H14">
        <f t="shared" ref="H14" si="20">IF(G14&lt;G$1,G14*(G$1-G14),0)</f>
        <v>924</v>
      </c>
    </row>
    <row r="15" spans="1:10" x14ac:dyDescent="0.25">
      <c r="A15">
        <v>12</v>
      </c>
      <c r="B15">
        <f t="shared" si="0"/>
        <v>444</v>
      </c>
      <c r="C15">
        <v>12</v>
      </c>
      <c r="D15">
        <f t="shared" si="0"/>
        <v>900</v>
      </c>
      <c r="E15">
        <v>12</v>
      </c>
      <c r="F15">
        <f t="shared" ref="F15" si="21">IF(E15&lt;E$1,E15*(E$1-E15),0)</f>
        <v>792</v>
      </c>
      <c r="G15">
        <v>12</v>
      </c>
      <c r="H15">
        <f t="shared" ref="H15" si="22">IF(G15&lt;G$1,G15*(G$1-G15),0)</f>
        <v>996</v>
      </c>
    </row>
    <row r="16" spans="1:10" x14ac:dyDescent="0.25">
      <c r="A16">
        <v>13</v>
      </c>
      <c r="B16">
        <f t="shared" si="0"/>
        <v>468</v>
      </c>
      <c r="C16">
        <v>13</v>
      </c>
      <c r="D16">
        <f t="shared" si="0"/>
        <v>962</v>
      </c>
      <c r="E16">
        <v>13</v>
      </c>
      <c r="F16">
        <f t="shared" ref="F16" si="23">IF(E16&lt;E$1,E16*(E$1-E16),0)</f>
        <v>845</v>
      </c>
      <c r="G16">
        <v>13</v>
      </c>
      <c r="H16">
        <f t="shared" ref="H16" si="24">IF(G16&lt;G$1,G16*(G$1-G16),0)</f>
        <v>1066</v>
      </c>
    </row>
    <row r="17" spans="1:8" x14ac:dyDescent="0.25">
      <c r="A17">
        <v>14</v>
      </c>
      <c r="B17">
        <f t="shared" si="0"/>
        <v>490</v>
      </c>
      <c r="C17">
        <v>14</v>
      </c>
      <c r="D17">
        <f t="shared" si="0"/>
        <v>1022</v>
      </c>
      <c r="E17">
        <v>14</v>
      </c>
      <c r="F17">
        <f t="shared" ref="F17" si="25">IF(E17&lt;E$1,E17*(E$1-E17),0)</f>
        <v>896</v>
      </c>
      <c r="G17">
        <v>14</v>
      </c>
      <c r="H17">
        <f t="shared" ref="H17" si="26">IF(G17&lt;G$1,G17*(G$1-G17),0)</f>
        <v>1134</v>
      </c>
    </row>
    <row r="18" spans="1:8" x14ac:dyDescent="0.25">
      <c r="A18">
        <v>15</v>
      </c>
      <c r="B18">
        <f t="shared" si="0"/>
        <v>510</v>
      </c>
      <c r="C18">
        <v>15</v>
      </c>
      <c r="D18">
        <f t="shared" si="0"/>
        <v>1080</v>
      </c>
      <c r="E18">
        <v>15</v>
      </c>
      <c r="F18">
        <f t="shared" ref="F18" si="27">IF(E18&lt;E$1,E18*(E$1-E18),0)</f>
        <v>945</v>
      </c>
      <c r="G18">
        <v>15</v>
      </c>
      <c r="H18">
        <f t="shared" ref="H18" si="28">IF(G18&lt;G$1,G18*(G$1-G18),0)</f>
        <v>1200</v>
      </c>
    </row>
    <row r="19" spans="1:8" x14ac:dyDescent="0.25">
      <c r="A19">
        <v>16</v>
      </c>
      <c r="B19">
        <f t="shared" si="0"/>
        <v>528</v>
      </c>
      <c r="C19">
        <v>16</v>
      </c>
      <c r="D19">
        <f t="shared" si="0"/>
        <v>1136</v>
      </c>
      <c r="E19">
        <v>16</v>
      </c>
      <c r="F19">
        <f t="shared" ref="F19" si="29">IF(E19&lt;E$1,E19*(E$1-E19),0)</f>
        <v>992</v>
      </c>
      <c r="G19">
        <v>16</v>
      </c>
      <c r="H19">
        <f t="shared" ref="H19" si="30">IF(G19&lt;G$1,G19*(G$1-G19),0)</f>
        <v>1264</v>
      </c>
    </row>
    <row r="20" spans="1:8" x14ac:dyDescent="0.25">
      <c r="A20">
        <v>17</v>
      </c>
      <c r="B20">
        <f t="shared" si="0"/>
        <v>544</v>
      </c>
      <c r="C20">
        <v>17</v>
      </c>
      <c r="D20">
        <f t="shared" si="0"/>
        <v>1190</v>
      </c>
      <c r="E20">
        <v>17</v>
      </c>
      <c r="F20">
        <f t="shared" ref="F20" si="31">IF(E20&lt;E$1,E20*(E$1-E20),0)</f>
        <v>1037</v>
      </c>
      <c r="G20">
        <v>17</v>
      </c>
      <c r="H20">
        <f t="shared" ref="H20" si="32">IF(G20&lt;G$1,G20*(G$1-G20),0)</f>
        <v>1326</v>
      </c>
    </row>
    <row r="21" spans="1:8" x14ac:dyDescent="0.25">
      <c r="A21">
        <v>18</v>
      </c>
      <c r="B21">
        <f t="shared" si="0"/>
        <v>558</v>
      </c>
      <c r="C21">
        <v>18</v>
      </c>
      <c r="D21">
        <f t="shared" si="0"/>
        <v>1242</v>
      </c>
      <c r="E21">
        <v>18</v>
      </c>
      <c r="F21">
        <f t="shared" ref="F21" si="33">IF(E21&lt;E$1,E21*(E$1-E21),0)</f>
        <v>1080</v>
      </c>
      <c r="G21">
        <v>18</v>
      </c>
      <c r="H21">
        <f t="shared" ref="H21" si="34">IF(G21&lt;G$1,G21*(G$1-G21),0)</f>
        <v>1386</v>
      </c>
    </row>
    <row r="22" spans="1:8" x14ac:dyDescent="0.25">
      <c r="A22">
        <v>19</v>
      </c>
      <c r="B22">
        <f t="shared" si="0"/>
        <v>570</v>
      </c>
      <c r="C22">
        <v>19</v>
      </c>
      <c r="D22">
        <f t="shared" si="0"/>
        <v>1292</v>
      </c>
      <c r="E22">
        <v>19</v>
      </c>
      <c r="F22">
        <f t="shared" ref="F22" si="35">IF(E22&lt;E$1,E22*(E$1-E22),0)</f>
        <v>1121</v>
      </c>
      <c r="G22">
        <v>19</v>
      </c>
      <c r="H22">
        <f t="shared" ref="H22" si="36">IF(G22&lt;G$1,G22*(G$1-G22),0)</f>
        <v>1444</v>
      </c>
    </row>
    <row r="23" spans="1:8" x14ac:dyDescent="0.25">
      <c r="A23">
        <v>20</v>
      </c>
      <c r="B23">
        <f t="shared" si="0"/>
        <v>580</v>
      </c>
      <c r="C23">
        <v>20</v>
      </c>
      <c r="D23">
        <f t="shared" si="0"/>
        <v>1340</v>
      </c>
      <c r="E23">
        <v>20</v>
      </c>
      <c r="F23">
        <f t="shared" ref="F23" si="37">IF(E23&lt;E$1,E23*(E$1-E23),0)</f>
        <v>1160</v>
      </c>
      <c r="G23">
        <v>20</v>
      </c>
      <c r="H23">
        <f t="shared" ref="H23" si="38">IF(G23&lt;G$1,G23*(G$1-G23),0)</f>
        <v>1500</v>
      </c>
    </row>
    <row r="24" spans="1:8" x14ac:dyDescent="0.25">
      <c r="A24">
        <v>21</v>
      </c>
      <c r="B24">
        <f t="shared" si="0"/>
        <v>588</v>
      </c>
      <c r="C24">
        <v>21</v>
      </c>
      <c r="D24">
        <f t="shared" si="0"/>
        <v>1386</v>
      </c>
      <c r="E24">
        <v>21</v>
      </c>
      <c r="F24">
        <f t="shared" ref="F24" si="39">IF(E24&lt;E$1,E24*(E$1-E24),0)</f>
        <v>1197</v>
      </c>
      <c r="G24">
        <v>21</v>
      </c>
      <c r="H24">
        <f t="shared" ref="H24" si="40">IF(G24&lt;G$1,G24*(G$1-G24),0)</f>
        <v>1554</v>
      </c>
    </row>
    <row r="25" spans="1:8" x14ac:dyDescent="0.25">
      <c r="A25">
        <v>22</v>
      </c>
      <c r="B25">
        <f t="shared" si="0"/>
        <v>594</v>
      </c>
      <c r="C25">
        <v>22</v>
      </c>
      <c r="D25">
        <f t="shared" si="0"/>
        <v>1430</v>
      </c>
      <c r="E25">
        <v>22</v>
      </c>
      <c r="F25">
        <f t="shared" ref="F25" si="41">IF(E25&lt;E$1,E25*(E$1-E25),0)</f>
        <v>1232</v>
      </c>
      <c r="G25">
        <v>22</v>
      </c>
      <c r="H25">
        <f t="shared" ref="H25" si="42">IF(G25&lt;G$1,G25*(G$1-G25),0)</f>
        <v>1606</v>
      </c>
    </row>
    <row r="26" spans="1:8" x14ac:dyDescent="0.25">
      <c r="A26">
        <v>23</v>
      </c>
      <c r="B26">
        <f t="shared" si="0"/>
        <v>598</v>
      </c>
      <c r="C26">
        <v>23</v>
      </c>
      <c r="D26">
        <f t="shared" si="0"/>
        <v>1472</v>
      </c>
      <c r="E26">
        <v>23</v>
      </c>
      <c r="F26">
        <f t="shared" ref="F26" si="43">IF(E26&lt;E$1,E26*(E$1-E26),0)</f>
        <v>1265</v>
      </c>
      <c r="G26">
        <v>23</v>
      </c>
      <c r="H26">
        <f t="shared" ref="H26" si="44">IF(G26&lt;G$1,G26*(G$1-G26),0)</f>
        <v>1656</v>
      </c>
    </row>
    <row r="27" spans="1:8" x14ac:dyDescent="0.25">
      <c r="A27">
        <v>24</v>
      </c>
      <c r="B27">
        <f t="shared" si="0"/>
        <v>600</v>
      </c>
      <c r="C27">
        <v>24</v>
      </c>
      <c r="D27">
        <f t="shared" si="0"/>
        <v>1512</v>
      </c>
      <c r="E27">
        <v>24</v>
      </c>
      <c r="F27">
        <f t="shared" ref="F27" si="45">IF(E27&lt;E$1,E27*(E$1-E27),0)</f>
        <v>1296</v>
      </c>
      <c r="G27">
        <v>24</v>
      </c>
      <c r="H27">
        <f t="shared" ref="H27" si="46">IF(G27&lt;G$1,G27*(G$1-G27),0)</f>
        <v>1704</v>
      </c>
    </row>
    <row r="28" spans="1:8" x14ac:dyDescent="0.25">
      <c r="A28">
        <v>25</v>
      </c>
      <c r="B28">
        <f t="shared" si="0"/>
        <v>600</v>
      </c>
      <c r="C28">
        <v>25</v>
      </c>
      <c r="D28">
        <f t="shared" si="0"/>
        <v>1550</v>
      </c>
      <c r="E28">
        <v>25</v>
      </c>
      <c r="F28">
        <f t="shared" ref="F28" si="47">IF(E28&lt;E$1,E28*(E$1-E28),0)</f>
        <v>1325</v>
      </c>
      <c r="G28">
        <v>25</v>
      </c>
      <c r="H28">
        <f t="shared" ref="H28" si="48">IF(G28&lt;G$1,G28*(G$1-G28),0)</f>
        <v>1750</v>
      </c>
    </row>
    <row r="29" spans="1:8" x14ac:dyDescent="0.25">
      <c r="A29">
        <v>26</v>
      </c>
      <c r="B29">
        <f t="shared" si="0"/>
        <v>598</v>
      </c>
      <c r="C29">
        <v>26</v>
      </c>
      <c r="D29">
        <f t="shared" si="0"/>
        <v>1586</v>
      </c>
      <c r="E29">
        <v>26</v>
      </c>
      <c r="F29">
        <f t="shared" ref="F29" si="49">IF(E29&lt;E$1,E29*(E$1-E29),0)</f>
        <v>1352</v>
      </c>
      <c r="G29">
        <v>26</v>
      </c>
      <c r="H29">
        <f t="shared" ref="H29" si="50">IF(G29&lt;G$1,G29*(G$1-G29),0)</f>
        <v>1794</v>
      </c>
    </row>
    <row r="30" spans="1:8" x14ac:dyDescent="0.25">
      <c r="A30">
        <v>27</v>
      </c>
      <c r="B30">
        <f t="shared" si="0"/>
        <v>594</v>
      </c>
      <c r="C30">
        <v>27</v>
      </c>
      <c r="D30">
        <f t="shared" si="0"/>
        <v>1620</v>
      </c>
      <c r="E30">
        <v>27</v>
      </c>
      <c r="F30">
        <f t="shared" ref="F30" si="51">IF(E30&lt;E$1,E30*(E$1-E30),0)</f>
        <v>1377</v>
      </c>
      <c r="G30">
        <v>27</v>
      </c>
      <c r="H30">
        <f t="shared" ref="H30" si="52">IF(G30&lt;G$1,G30*(G$1-G30),0)</f>
        <v>1836</v>
      </c>
    </row>
    <row r="31" spans="1:8" x14ac:dyDescent="0.25">
      <c r="A31">
        <v>28</v>
      </c>
      <c r="B31">
        <f t="shared" si="0"/>
        <v>588</v>
      </c>
      <c r="C31">
        <v>28</v>
      </c>
      <c r="D31">
        <f t="shared" si="0"/>
        <v>1652</v>
      </c>
      <c r="E31">
        <v>28</v>
      </c>
      <c r="F31">
        <f t="shared" ref="F31" si="53">IF(E31&lt;E$1,E31*(E$1-E31),0)</f>
        <v>1400</v>
      </c>
      <c r="G31">
        <v>28</v>
      </c>
      <c r="H31">
        <f t="shared" ref="H31" si="54">IF(G31&lt;G$1,G31*(G$1-G31),0)</f>
        <v>1876</v>
      </c>
    </row>
    <row r="32" spans="1:8" x14ac:dyDescent="0.25">
      <c r="A32">
        <v>29</v>
      </c>
      <c r="B32">
        <f t="shared" si="0"/>
        <v>580</v>
      </c>
      <c r="C32">
        <v>29</v>
      </c>
      <c r="D32">
        <f t="shared" si="0"/>
        <v>1682</v>
      </c>
      <c r="E32">
        <v>29</v>
      </c>
      <c r="F32">
        <f t="shared" ref="F32" si="55">IF(E32&lt;E$1,E32*(E$1-E32),0)</f>
        <v>1421</v>
      </c>
      <c r="G32">
        <v>29</v>
      </c>
      <c r="H32">
        <f t="shared" ref="H32" si="56">IF(G32&lt;G$1,G32*(G$1-G32),0)</f>
        <v>1914</v>
      </c>
    </row>
    <row r="33" spans="1:8" x14ac:dyDescent="0.25">
      <c r="A33">
        <v>30</v>
      </c>
      <c r="B33">
        <f t="shared" si="0"/>
        <v>570</v>
      </c>
      <c r="C33">
        <v>30</v>
      </c>
      <c r="D33">
        <f t="shared" si="0"/>
        <v>1710</v>
      </c>
      <c r="E33">
        <v>30</v>
      </c>
      <c r="F33">
        <f t="shared" ref="F33" si="57">IF(E33&lt;E$1,E33*(E$1-E33),0)</f>
        <v>1440</v>
      </c>
      <c r="G33">
        <v>30</v>
      </c>
      <c r="H33">
        <f t="shared" ref="H33" si="58">IF(G33&lt;G$1,G33*(G$1-G33),0)</f>
        <v>1950</v>
      </c>
    </row>
    <row r="34" spans="1:8" x14ac:dyDescent="0.25">
      <c r="A34">
        <v>31</v>
      </c>
      <c r="B34">
        <f t="shared" si="0"/>
        <v>558</v>
      </c>
      <c r="C34">
        <v>31</v>
      </c>
      <c r="D34">
        <f t="shared" si="0"/>
        <v>1736</v>
      </c>
      <c r="E34">
        <v>31</v>
      </c>
      <c r="F34">
        <f t="shared" ref="F34" si="59">IF(E34&lt;E$1,E34*(E$1-E34),0)</f>
        <v>1457</v>
      </c>
      <c r="G34">
        <v>31</v>
      </c>
      <c r="H34">
        <f t="shared" ref="H34" si="60">IF(G34&lt;G$1,G34*(G$1-G34),0)</f>
        <v>1984</v>
      </c>
    </row>
    <row r="35" spans="1:8" x14ac:dyDescent="0.25">
      <c r="A35">
        <v>32</v>
      </c>
      <c r="B35">
        <f t="shared" si="0"/>
        <v>544</v>
      </c>
      <c r="C35">
        <v>32</v>
      </c>
      <c r="D35">
        <f t="shared" si="0"/>
        <v>1760</v>
      </c>
      <c r="E35">
        <v>32</v>
      </c>
      <c r="F35">
        <f t="shared" ref="F35" si="61">IF(E35&lt;E$1,E35*(E$1-E35),0)</f>
        <v>1472</v>
      </c>
      <c r="G35">
        <v>32</v>
      </c>
      <c r="H35">
        <f t="shared" ref="H35" si="62">IF(G35&lt;G$1,G35*(G$1-G35),0)</f>
        <v>2016</v>
      </c>
    </row>
    <row r="36" spans="1:8" x14ac:dyDescent="0.25">
      <c r="A36">
        <v>33</v>
      </c>
      <c r="B36">
        <f t="shared" si="0"/>
        <v>528</v>
      </c>
      <c r="C36">
        <v>33</v>
      </c>
      <c r="D36">
        <f t="shared" si="0"/>
        <v>1782</v>
      </c>
      <c r="E36">
        <v>33</v>
      </c>
      <c r="F36">
        <f t="shared" ref="F36" si="63">IF(E36&lt;E$1,E36*(E$1-E36),0)</f>
        <v>1485</v>
      </c>
      <c r="G36">
        <v>33</v>
      </c>
      <c r="H36">
        <f t="shared" ref="H36" si="64">IF(G36&lt;G$1,G36*(G$1-G36),0)</f>
        <v>2046</v>
      </c>
    </row>
    <row r="37" spans="1:8" x14ac:dyDescent="0.25">
      <c r="A37">
        <v>34</v>
      </c>
      <c r="B37">
        <f t="shared" si="0"/>
        <v>510</v>
      </c>
      <c r="C37">
        <v>34</v>
      </c>
      <c r="D37">
        <f t="shared" si="0"/>
        <v>1802</v>
      </c>
      <c r="E37">
        <v>34</v>
      </c>
      <c r="F37">
        <f t="shared" ref="F37" si="65">IF(E37&lt;E$1,E37*(E$1-E37),0)</f>
        <v>1496</v>
      </c>
      <c r="G37">
        <v>34</v>
      </c>
      <c r="H37">
        <f t="shared" ref="H37" si="66">IF(G37&lt;G$1,G37*(G$1-G37),0)</f>
        <v>2074</v>
      </c>
    </row>
    <row r="38" spans="1:8" x14ac:dyDescent="0.25">
      <c r="A38">
        <v>35</v>
      </c>
      <c r="B38">
        <f t="shared" si="0"/>
        <v>490</v>
      </c>
      <c r="C38">
        <v>35</v>
      </c>
      <c r="D38">
        <f t="shared" si="0"/>
        <v>1820</v>
      </c>
      <c r="E38">
        <v>35</v>
      </c>
      <c r="F38">
        <f t="shared" ref="F38" si="67">IF(E38&lt;E$1,E38*(E$1-E38),0)</f>
        <v>1505</v>
      </c>
      <c r="G38">
        <v>35</v>
      </c>
      <c r="H38">
        <f t="shared" ref="H38" si="68">IF(G38&lt;G$1,G38*(G$1-G38),0)</f>
        <v>2100</v>
      </c>
    </row>
    <row r="39" spans="1:8" x14ac:dyDescent="0.25">
      <c r="A39">
        <v>36</v>
      </c>
      <c r="B39">
        <f t="shared" si="0"/>
        <v>468</v>
      </c>
      <c r="C39">
        <v>36</v>
      </c>
      <c r="D39">
        <f t="shared" si="0"/>
        <v>1836</v>
      </c>
      <c r="E39">
        <v>36</v>
      </c>
      <c r="F39">
        <f t="shared" ref="F39" si="69">IF(E39&lt;E$1,E39*(E$1-E39),0)</f>
        <v>1512</v>
      </c>
      <c r="G39">
        <v>36</v>
      </c>
      <c r="H39">
        <f t="shared" ref="H39" si="70">IF(G39&lt;G$1,G39*(G$1-G39),0)</f>
        <v>2124</v>
      </c>
    </row>
    <row r="40" spans="1:8" x14ac:dyDescent="0.25">
      <c r="A40">
        <v>37</v>
      </c>
      <c r="B40">
        <f t="shared" si="0"/>
        <v>444</v>
      </c>
      <c r="C40">
        <v>37</v>
      </c>
      <c r="D40">
        <f t="shared" si="0"/>
        <v>1850</v>
      </c>
      <c r="E40">
        <v>37</v>
      </c>
      <c r="F40">
        <f t="shared" ref="F40" si="71">IF(E40&lt;E$1,E40*(E$1-E40),0)</f>
        <v>1517</v>
      </c>
      <c r="G40">
        <v>37</v>
      </c>
      <c r="H40">
        <f t="shared" ref="H40" si="72">IF(G40&lt;G$1,G40*(G$1-G40),0)</f>
        <v>2146</v>
      </c>
    </row>
    <row r="41" spans="1:8" x14ac:dyDescent="0.25">
      <c r="A41">
        <v>38</v>
      </c>
      <c r="B41">
        <f t="shared" si="0"/>
        <v>418</v>
      </c>
      <c r="C41">
        <v>38</v>
      </c>
      <c r="D41">
        <f t="shared" si="0"/>
        <v>1862</v>
      </c>
      <c r="E41">
        <v>38</v>
      </c>
      <c r="F41">
        <f t="shared" ref="F41" si="73">IF(E41&lt;E$1,E41*(E$1-E41),0)</f>
        <v>1520</v>
      </c>
      <c r="G41">
        <v>38</v>
      </c>
      <c r="H41">
        <f t="shared" ref="H41" si="74">IF(G41&lt;G$1,G41*(G$1-G41),0)</f>
        <v>2166</v>
      </c>
    </row>
    <row r="42" spans="1:8" x14ac:dyDescent="0.25">
      <c r="A42">
        <v>39</v>
      </c>
      <c r="B42">
        <f t="shared" si="0"/>
        <v>390</v>
      </c>
      <c r="C42">
        <v>39</v>
      </c>
      <c r="D42">
        <f t="shared" si="0"/>
        <v>1872</v>
      </c>
      <c r="E42">
        <v>39</v>
      </c>
      <c r="F42">
        <f t="shared" ref="F42" si="75">IF(E42&lt;E$1,E42*(E$1-E42),0)</f>
        <v>1521</v>
      </c>
      <c r="G42">
        <v>39</v>
      </c>
      <c r="H42">
        <f t="shared" ref="H42" si="76">IF(G42&lt;G$1,G42*(G$1-G42),0)</f>
        <v>2184</v>
      </c>
    </row>
    <row r="43" spans="1:8" x14ac:dyDescent="0.25">
      <c r="A43">
        <v>40</v>
      </c>
      <c r="B43">
        <f t="shared" si="0"/>
        <v>360</v>
      </c>
      <c r="C43">
        <v>40</v>
      </c>
      <c r="D43">
        <f t="shared" si="0"/>
        <v>1880</v>
      </c>
      <c r="E43">
        <v>40</v>
      </c>
      <c r="F43">
        <f t="shared" ref="F43" si="77">IF(E43&lt;E$1,E43*(E$1-E43),0)</f>
        <v>1520</v>
      </c>
      <c r="G43">
        <v>40</v>
      </c>
      <c r="H43">
        <f t="shared" ref="H43" si="78">IF(G43&lt;G$1,G43*(G$1-G43),0)</f>
        <v>2200</v>
      </c>
    </row>
    <row r="44" spans="1:8" x14ac:dyDescent="0.25">
      <c r="A44">
        <v>41</v>
      </c>
      <c r="B44">
        <f t="shared" si="0"/>
        <v>328</v>
      </c>
      <c r="C44">
        <v>41</v>
      </c>
      <c r="D44">
        <f t="shared" si="0"/>
        <v>1886</v>
      </c>
      <c r="E44">
        <v>41</v>
      </c>
      <c r="F44">
        <f t="shared" ref="F44" si="79">IF(E44&lt;E$1,E44*(E$1-E44),0)</f>
        <v>1517</v>
      </c>
      <c r="G44">
        <v>41</v>
      </c>
      <c r="H44">
        <f t="shared" ref="H44" si="80">IF(G44&lt;G$1,G44*(G$1-G44),0)</f>
        <v>2214</v>
      </c>
    </row>
    <row r="45" spans="1:8" x14ac:dyDescent="0.25">
      <c r="A45">
        <v>42</v>
      </c>
      <c r="B45">
        <f t="shared" si="0"/>
        <v>294</v>
      </c>
      <c r="C45">
        <v>42</v>
      </c>
      <c r="D45">
        <f t="shared" si="0"/>
        <v>1890</v>
      </c>
      <c r="E45">
        <v>42</v>
      </c>
      <c r="F45">
        <f t="shared" ref="F45" si="81">IF(E45&lt;E$1,E45*(E$1-E45),0)</f>
        <v>1512</v>
      </c>
      <c r="G45">
        <v>42</v>
      </c>
      <c r="H45">
        <f t="shared" ref="H45" si="82">IF(G45&lt;G$1,G45*(G$1-G45),0)</f>
        <v>2226</v>
      </c>
    </row>
    <row r="46" spans="1:8" x14ac:dyDescent="0.25">
      <c r="A46">
        <v>43</v>
      </c>
      <c r="B46">
        <f t="shared" si="0"/>
        <v>258</v>
      </c>
      <c r="C46">
        <v>43</v>
      </c>
      <c r="D46">
        <f t="shared" si="0"/>
        <v>1892</v>
      </c>
      <c r="E46">
        <v>43</v>
      </c>
      <c r="F46">
        <f t="shared" ref="F46" si="83">IF(E46&lt;E$1,E46*(E$1-E46),0)</f>
        <v>1505</v>
      </c>
      <c r="G46">
        <v>43</v>
      </c>
      <c r="H46">
        <f t="shared" ref="H46" si="84">IF(G46&lt;G$1,G46*(G$1-G46),0)</f>
        <v>2236</v>
      </c>
    </row>
    <row r="47" spans="1:8" x14ac:dyDescent="0.25">
      <c r="A47">
        <v>44</v>
      </c>
      <c r="B47">
        <f t="shared" si="0"/>
        <v>220</v>
      </c>
      <c r="C47">
        <v>44</v>
      </c>
      <c r="D47">
        <f t="shared" si="0"/>
        <v>1892</v>
      </c>
      <c r="E47">
        <v>44</v>
      </c>
      <c r="F47">
        <f t="shared" ref="F47" si="85">IF(E47&lt;E$1,E47*(E$1-E47),0)</f>
        <v>1496</v>
      </c>
      <c r="G47">
        <v>44</v>
      </c>
      <c r="H47">
        <f t="shared" ref="H47" si="86">IF(G47&lt;G$1,G47*(G$1-G47),0)</f>
        <v>2244</v>
      </c>
    </row>
    <row r="48" spans="1:8" x14ac:dyDescent="0.25">
      <c r="A48">
        <v>45</v>
      </c>
      <c r="B48">
        <f t="shared" si="0"/>
        <v>180</v>
      </c>
      <c r="C48">
        <v>45</v>
      </c>
      <c r="D48">
        <f t="shared" si="0"/>
        <v>1890</v>
      </c>
      <c r="E48">
        <v>45</v>
      </c>
      <c r="F48">
        <f t="shared" ref="F48" si="87">IF(E48&lt;E$1,E48*(E$1-E48),0)</f>
        <v>1485</v>
      </c>
      <c r="G48">
        <v>45</v>
      </c>
      <c r="H48">
        <f t="shared" ref="H48" si="88">IF(G48&lt;G$1,G48*(G$1-G48),0)</f>
        <v>2250</v>
      </c>
    </row>
    <row r="49" spans="1:8" x14ac:dyDescent="0.25">
      <c r="A49">
        <v>46</v>
      </c>
      <c r="B49">
        <f t="shared" si="0"/>
        <v>138</v>
      </c>
      <c r="C49">
        <v>46</v>
      </c>
      <c r="D49">
        <f t="shared" si="0"/>
        <v>1886</v>
      </c>
      <c r="E49">
        <v>46</v>
      </c>
      <c r="F49">
        <f t="shared" ref="F49" si="89">IF(E49&lt;E$1,E49*(E$1-E49),0)</f>
        <v>1472</v>
      </c>
      <c r="G49">
        <v>46</v>
      </c>
      <c r="H49">
        <f t="shared" ref="H49" si="90">IF(G49&lt;G$1,G49*(G$1-G49),0)</f>
        <v>2254</v>
      </c>
    </row>
    <row r="50" spans="1:8" x14ac:dyDescent="0.25">
      <c r="A50">
        <v>47</v>
      </c>
      <c r="B50">
        <f t="shared" si="0"/>
        <v>94</v>
      </c>
      <c r="C50">
        <v>47</v>
      </c>
      <c r="D50">
        <f t="shared" si="0"/>
        <v>1880</v>
      </c>
      <c r="E50">
        <v>47</v>
      </c>
      <c r="F50">
        <f t="shared" ref="F50" si="91">IF(E50&lt;E$1,E50*(E$1-E50),0)</f>
        <v>1457</v>
      </c>
      <c r="G50">
        <v>47</v>
      </c>
      <c r="H50">
        <f t="shared" ref="H50" si="92">IF(G50&lt;G$1,G50*(G$1-G50),0)</f>
        <v>2256</v>
      </c>
    </row>
    <row r="51" spans="1:8" x14ac:dyDescent="0.25">
      <c r="A51">
        <v>48</v>
      </c>
      <c r="B51">
        <f t="shared" si="0"/>
        <v>48</v>
      </c>
      <c r="C51">
        <v>48</v>
      </c>
      <c r="D51">
        <f t="shared" si="0"/>
        <v>1872</v>
      </c>
      <c r="E51">
        <v>48</v>
      </c>
      <c r="F51">
        <f t="shared" ref="F51" si="93">IF(E51&lt;E$1,E51*(E$1-E51),0)</f>
        <v>1440</v>
      </c>
      <c r="G51">
        <v>48</v>
      </c>
      <c r="H51">
        <f t="shared" ref="H51" si="94">IF(G51&lt;G$1,G51*(G$1-G51),0)</f>
        <v>2256</v>
      </c>
    </row>
    <row r="52" spans="1:8" x14ac:dyDescent="0.25">
      <c r="A52">
        <v>49</v>
      </c>
      <c r="B52">
        <f t="shared" si="0"/>
        <v>0</v>
      </c>
      <c r="C52">
        <v>49</v>
      </c>
      <c r="D52">
        <f t="shared" si="0"/>
        <v>1862</v>
      </c>
      <c r="E52">
        <v>49</v>
      </c>
      <c r="F52">
        <f t="shared" ref="F52" si="95">IF(E52&lt;E$1,E52*(E$1-E52),0)</f>
        <v>1421</v>
      </c>
      <c r="G52">
        <v>49</v>
      </c>
      <c r="H52">
        <f t="shared" ref="H52" si="96">IF(G52&lt;G$1,G52*(G$1-G52),0)</f>
        <v>2254</v>
      </c>
    </row>
    <row r="53" spans="1:8" x14ac:dyDescent="0.25">
      <c r="A53">
        <v>50</v>
      </c>
      <c r="B53">
        <f t="shared" si="0"/>
        <v>0</v>
      </c>
      <c r="C53">
        <v>50</v>
      </c>
      <c r="D53">
        <f t="shared" si="0"/>
        <v>1850</v>
      </c>
      <c r="E53">
        <v>50</v>
      </c>
      <c r="F53">
        <f t="shared" ref="F53" si="97">IF(E53&lt;E$1,E53*(E$1-E53),0)</f>
        <v>1400</v>
      </c>
      <c r="G53">
        <v>50</v>
      </c>
      <c r="H53">
        <f t="shared" ref="H53" si="98">IF(G53&lt;G$1,G53*(G$1-G53),0)</f>
        <v>2250</v>
      </c>
    </row>
    <row r="54" spans="1:8" x14ac:dyDescent="0.25">
      <c r="A54">
        <v>51</v>
      </c>
      <c r="B54">
        <f t="shared" si="0"/>
        <v>0</v>
      </c>
      <c r="C54">
        <v>51</v>
      </c>
      <c r="D54">
        <f t="shared" si="0"/>
        <v>1836</v>
      </c>
      <c r="E54">
        <v>51</v>
      </c>
      <c r="F54">
        <f t="shared" ref="F54" si="99">IF(E54&lt;E$1,E54*(E$1-E54),0)</f>
        <v>1377</v>
      </c>
      <c r="G54">
        <v>51</v>
      </c>
      <c r="H54">
        <f t="shared" ref="H54" si="100">IF(G54&lt;G$1,G54*(G$1-G54),0)</f>
        <v>2244</v>
      </c>
    </row>
    <row r="55" spans="1:8" x14ac:dyDescent="0.25">
      <c r="A55">
        <v>52</v>
      </c>
      <c r="B55">
        <f t="shared" si="0"/>
        <v>0</v>
      </c>
      <c r="C55">
        <v>52</v>
      </c>
      <c r="D55">
        <f t="shared" si="0"/>
        <v>1820</v>
      </c>
      <c r="E55">
        <v>52</v>
      </c>
      <c r="F55">
        <f t="shared" ref="F55" si="101">IF(E55&lt;E$1,E55*(E$1-E55),0)</f>
        <v>1352</v>
      </c>
      <c r="G55">
        <v>52</v>
      </c>
      <c r="H55">
        <f t="shared" ref="H55" si="102">IF(G55&lt;G$1,G55*(G$1-G55),0)</f>
        <v>2236</v>
      </c>
    </row>
    <row r="56" spans="1:8" x14ac:dyDescent="0.25">
      <c r="A56">
        <v>53</v>
      </c>
      <c r="B56">
        <f t="shared" si="0"/>
        <v>0</v>
      </c>
      <c r="C56">
        <v>53</v>
      </c>
      <c r="D56">
        <f t="shared" si="0"/>
        <v>1802</v>
      </c>
      <c r="E56">
        <v>53</v>
      </c>
      <c r="F56">
        <f t="shared" ref="F56" si="103">IF(E56&lt;E$1,E56*(E$1-E56),0)</f>
        <v>1325</v>
      </c>
      <c r="G56">
        <v>53</v>
      </c>
      <c r="H56">
        <f t="shared" ref="H56" si="104">IF(G56&lt;G$1,G56*(G$1-G56),0)</f>
        <v>2226</v>
      </c>
    </row>
    <row r="57" spans="1:8" x14ac:dyDescent="0.25">
      <c r="A57">
        <v>54</v>
      </c>
      <c r="B57">
        <f t="shared" si="0"/>
        <v>0</v>
      </c>
      <c r="C57">
        <v>54</v>
      </c>
      <c r="D57">
        <f t="shared" si="0"/>
        <v>1782</v>
      </c>
      <c r="E57">
        <v>54</v>
      </c>
      <c r="F57">
        <f t="shared" ref="F57" si="105">IF(E57&lt;E$1,E57*(E$1-E57),0)</f>
        <v>1296</v>
      </c>
      <c r="G57">
        <v>54</v>
      </c>
      <c r="H57">
        <f t="shared" ref="H57" si="106">IF(G57&lt;G$1,G57*(G$1-G57),0)</f>
        <v>2214</v>
      </c>
    </row>
    <row r="58" spans="1:8" x14ac:dyDescent="0.25">
      <c r="A58">
        <v>55</v>
      </c>
      <c r="B58">
        <f t="shared" si="0"/>
        <v>0</v>
      </c>
      <c r="C58">
        <v>55</v>
      </c>
      <c r="D58">
        <f t="shared" si="0"/>
        <v>1760</v>
      </c>
      <c r="E58">
        <v>55</v>
      </c>
      <c r="F58">
        <f t="shared" ref="F58" si="107">IF(E58&lt;E$1,E58*(E$1-E58),0)</f>
        <v>1265</v>
      </c>
      <c r="G58">
        <v>55</v>
      </c>
      <c r="H58">
        <f t="shared" ref="H58" si="108">IF(G58&lt;G$1,G58*(G$1-G58),0)</f>
        <v>2200</v>
      </c>
    </row>
    <row r="59" spans="1:8" x14ac:dyDescent="0.25">
      <c r="A59">
        <v>56</v>
      </c>
      <c r="B59">
        <f t="shared" si="0"/>
        <v>0</v>
      </c>
      <c r="C59">
        <v>56</v>
      </c>
      <c r="D59">
        <f t="shared" si="0"/>
        <v>1736</v>
      </c>
      <c r="E59">
        <v>56</v>
      </c>
      <c r="F59">
        <f t="shared" ref="F59" si="109">IF(E59&lt;E$1,E59*(E$1-E59),0)</f>
        <v>1232</v>
      </c>
      <c r="G59">
        <v>56</v>
      </c>
      <c r="H59">
        <f t="shared" ref="H59" si="110">IF(G59&lt;G$1,G59*(G$1-G59),0)</f>
        <v>2184</v>
      </c>
    </row>
    <row r="60" spans="1:8" x14ac:dyDescent="0.25">
      <c r="A60">
        <v>57</v>
      </c>
      <c r="B60">
        <f t="shared" si="0"/>
        <v>0</v>
      </c>
      <c r="C60">
        <v>57</v>
      </c>
      <c r="D60">
        <f t="shared" si="0"/>
        <v>1710</v>
      </c>
      <c r="E60">
        <v>57</v>
      </c>
      <c r="F60">
        <f t="shared" ref="F60" si="111">IF(E60&lt;E$1,E60*(E$1-E60),0)</f>
        <v>1197</v>
      </c>
      <c r="G60">
        <v>57</v>
      </c>
      <c r="H60">
        <f t="shared" ref="H60" si="112">IF(G60&lt;G$1,G60*(G$1-G60),0)</f>
        <v>2166</v>
      </c>
    </row>
    <row r="61" spans="1:8" x14ac:dyDescent="0.25">
      <c r="A61">
        <v>58</v>
      </c>
      <c r="B61">
        <f t="shared" si="0"/>
        <v>0</v>
      </c>
      <c r="C61">
        <v>58</v>
      </c>
      <c r="D61">
        <f t="shared" si="0"/>
        <v>1682</v>
      </c>
      <c r="E61">
        <v>58</v>
      </c>
      <c r="F61">
        <f t="shared" ref="F61" si="113">IF(E61&lt;E$1,E61*(E$1-E61),0)</f>
        <v>1160</v>
      </c>
      <c r="G61">
        <v>58</v>
      </c>
      <c r="H61">
        <f t="shared" ref="H61" si="114">IF(G61&lt;G$1,G61*(G$1-G61),0)</f>
        <v>2146</v>
      </c>
    </row>
    <row r="62" spans="1:8" x14ac:dyDescent="0.25">
      <c r="A62">
        <v>59</v>
      </c>
      <c r="B62">
        <f t="shared" si="0"/>
        <v>0</v>
      </c>
      <c r="C62">
        <v>59</v>
      </c>
      <c r="D62">
        <f t="shared" si="0"/>
        <v>1652</v>
      </c>
      <c r="E62">
        <v>59</v>
      </c>
      <c r="F62">
        <f t="shared" ref="F62" si="115">IF(E62&lt;E$1,E62*(E$1-E62),0)</f>
        <v>1121</v>
      </c>
      <c r="G62">
        <v>59</v>
      </c>
      <c r="H62">
        <f t="shared" ref="H62" si="116">IF(G62&lt;G$1,G62*(G$1-G62),0)</f>
        <v>2124</v>
      </c>
    </row>
    <row r="63" spans="1:8" x14ac:dyDescent="0.25">
      <c r="A63">
        <v>60</v>
      </c>
      <c r="B63">
        <f t="shared" si="0"/>
        <v>0</v>
      </c>
      <c r="C63">
        <v>60</v>
      </c>
      <c r="D63">
        <f t="shared" si="0"/>
        <v>1620</v>
      </c>
      <c r="E63">
        <v>60</v>
      </c>
      <c r="F63">
        <f t="shared" ref="F63" si="117">IF(E63&lt;E$1,E63*(E$1-E63),0)</f>
        <v>1080</v>
      </c>
      <c r="G63">
        <v>60</v>
      </c>
      <c r="H63">
        <f t="shared" ref="H63" si="118">IF(G63&lt;G$1,G63*(G$1-G63),0)</f>
        <v>2100</v>
      </c>
    </row>
    <row r="64" spans="1:8" x14ac:dyDescent="0.25">
      <c r="A64">
        <v>61</v>
      </c>
      <c r="B64">
        <f t="shared" si="0"/>
        <v>0</v>
      </c>
      <c r="C64">
        <v>61</v>
      </c>
      <c r="D64">
        <f t="shared" si="0"/>
        <v>1586</v>
      </c>
      <c r="E64">
        <v>61</v>
      </c>
      <c r="F64">
        <f t="shared" ref="F64" si="119">IF(E64&lt;E$1,E64*(E$1-E64),0)</f>
        <v>1037</v>
      </c>
      <c r="G64">
        <v>61</v>
      </c>
      <c r="H64">
        <f t="shared" ref="H64" si="120">IF(G64&lt;G$1,G64*(G$1-G64),0)</f>
        <v>2074</v>
      </c>
    </row>
    <row r="65" spans="1:8" x14ac:dyDescent="0.25">
      <c r="A65">
        <v>62</v>
      </c>
      <c r="B65">
        <f t="shared" si="0"/>
        <v>0</v>
      </c>
      <c r="C65">
        <v>62</v>
      </c>
      <c r="D65">
        <f t="shared" si="0"/>
        <v>1550</v>
      </c>
      <c r="E65">
        <v>62</v>
      </c>
      <c r="F65">
        <f t="shared" ref="F65" si="121">IF(E65&lt;E$1,E65*(E$1-E65),0)</f>
        <v>992</v>
      </c>
      <c r="G65">
        <v>62</v>
      </c>
      <c r="H65">
        <f t="shared" ref="H65" si="122">IF(G65&lt;G$1,G65*(G$1-G65),0)</f>
        <v>2046</v>
      </c>
    </row>
    <row r="66" spans="1:8" x14ac:dyDescent="0.25">
      <c r="A66">
        <v>63</v>
      </c>
      <c r="B66">
        <f t="shared" si="0"/>
        <v>0</v>
      </c>
      <c r="C66">
        <v>63</v>
      </c>
      <c r="D66">
        <f t="shared" si="0"/>
        <v>1512</v>
      </c>
      <c r="E66">
        <v>63</v>
      </c>
      <c r="F66">
        <f t="shared" ref="F66" si="123">IF(E66&lt;E$1,E66*(E$1-E66),0)</f>
        <v>945</v>
      </c>
      <c r="G66">
        <v>63</v>
      </c>
      <c r="H66">
        <f t="shared" ref="H66" si="124">IF(G66&lt;G$1,G66*(G$1-G66),0)</f>
        <v>2016</v>
      </c>
    </row>
    <row r="67" spans="1:8" x14ac:dyDescent="0.25">
      <c r="A67">
        <v>64</v>
      </c>
      <c r="B67">
        <f t="shared" si="0"/>
        <v>0</v>
      </c>
      <c r="C67">
        <v>64</v>
      </c>
      <c r="D67">
        <f t="shared" si="0"/>
        <v>1472</v>
      </c>
      <c r="E67">
        <v>64</v>
      </c>
      <c r="F67">
        <f t="shared" ref="F67" si="125">IF(E67&lt;E$1,E67*(E$1-E67),0)</f>
        <v>896</v>
      </c>
      <c r="G67">
        <v>64</v>
      </c>
      <c r="H67">
        <f t="shared" ref="H67" si="126">IF(G67&lt;G$1,G67*(G$1-G67),0)</f>
        <v>1984</v>
      </c>
    </row>
    <row r="68" spans="1:8" x14ac:dyDescent="0.25">
      <c r="A68">
        <v>65</v>
      </c>
      <c r="B68">
        <f t="shared" si="0"/>
        <v>0</v>
      </c>
      <c r="C68">
        <v>65</v>
      </c>
      <c r="D68">
        <f t="shared" si="0"/>
        <v>1430</v>
      </c>
      <c r="E68">
        <v>65</v>
      </c>
      <c r="F68">
        <f t="shared" ref="F68" si="127">IF(E68&lt;E$1,E68*(E$1-E68),0)</f>
        <v>845</v>
      </c>
      <c r="G68">
        <v>65</v>
      </c>
      <c r="H68">
        <f t="shared" ref="H68" si="128">IF(G68&lt;G$1,G68*(G$1-G68),0)</f>
        <v>1950</v>
      </c>
    </row>
    <row r="69" spans="1:8" x14ac:dyDescent="0.25">
      <c r="A69">
        <v>66</v>
      </c>
      <c r="B69">
        <f t="shared" ref="B69:D102" si="129">IF(A69&lt;A$1,A69*(A$1-A69),0)</f>
        <v>0</v>
      </c>
      <c r="C69">
        <v>66</v>
      </c>
      <c r="D69">
        <f t="shared" si="129"/>
        <v>1386</v>
      </c>
      <c r="E69">
        <v>66</v>
      </c>
      <c r="F69">
        <f t="shared" ref="F69" si="130">IF(E69&lt;E$1,E69*(E$1-E69),0)</f>
        <v>792</v>
      </c>
      <c r="G69">
        <v>66</v>
      </c>
      <c r="H69">
        <f t="shared" ref="H69" si="131">IF(G69&lt;G$1,G69*(G$1-G69),0)</f>
        <v>1914</v>
      </c>
    </row>
    <row r="70" spans="1:8" x14ac:dyDescent="0.25">
      <c r="A70">
        <v>67</v>
      </c>
      <c r="B70">
        <f t="shared" si="129"/>
        <v>0</v>
      </c>
      <c r="C70">
        <v>67</v>
      </c>
      <c r="D70">
        <f t="shared" si="129"/>
        <v>1340</v>
      </c>
      <c r="E70">
        <v>67</v>
      </c>
      <c r="F70">
        <f t="shared" ref="F70" si="132">IF(E70&lt;E$1,E70*(E$1-E70),0)</f>
        <v>737</v>
      </c>
      <c r="G70">
        <v>67</v>
      </c>
      <c r="H70">
        <f t="shared" ref="H70" si="133">IF(G70&lt;G$1,G70*(G$1-G70),0)</f>
        <v>1876</v>
      </c>
    </row>
    <row r="71" spans="1:8" x14ac:dyDescent="0.25">
      <c r="A71">
        <v>68</v>
      </c>
      <c r="B71">
        <f t="shared" si="129"/>
        <v>0</v>
      </c>
      <c r="C71">
        <v>68</v>
      </c>
      <c r="D71">
        <f t="shared" si="129"/>
        <v>1292</v>
      </c>
      <c r="E71">
        <v>68</v>
      </c>
      <c r="F71">
        <f t="shared" ref="F71" si="134">IF(E71&lt;E$1,E71*(E$1-E71),0)</f>
        <v>680</v>
      </c>
      <c r="G71">
        <v>68</v>
      </c>
      <c r="H71">
        <f t="shared" ref="H71" si="135">IF(G71&lt;G$1,G71*(G$1-G71),0)</f>
        <v>1836</v>
      </c>
    </row>
    <row r="72" spans="1:8" x14ac:dyDescent="0.25">
      <c r="A72">
        <v>69</v>
      </c>
      <c r="B72">
        <f t="shared" si="129"/>
        <v>0</v>
      </c>
      <c r="C72">
        <v>69</v>
      </c>
      <c r="D72">
        <f t="shared" si="129"/>
        <v>1242</v>
      </c>
      <c r="E72">
        <v>69</v>
      </c>
      <c r="F72">
        <f t="shared" ref="F72" si="136">IF(E72&lt;E$1,E72*(E$1-E72),0)</f>
        <v>621</v>
      </c>
      <c r="G72">
        <v>69</v>
      </c>
      <c r="H72">
        <f t="shared" ref="H72" si="137">IF(G72&lt;G$1,G72*(G$1-G72),0)</f>
        <v>1794</v>
      </c>
    </row>
    <row r="73" spans="1:8" x14ac:dyDescent="0.25">
      <c r="A73">
        <v>70</v>
      </c>
      <c r="B73">
        <f t="shared" si="129"/>
        <v>0</v>
      </c>
      <c r="C73">
        <v>70</v>
      </c>
      <c r="D73">
        <f t="shared" si="129"/>
        <v>1190</v>
      </c>
      <c r="E73">
        <v>70</v>
      </c>
      <c r="F73">
        <f t="shared" ref="F73" si="138">IF(E73&lt;E$1,E73*(E$1-E73),0)</f>
        <v>560</v>
      </c>
      <c r="G73">
        <v>70</v>
      </c>
      <c r="H73">
        <f t="shared" ref="H73" si="139">IF(G73&lt;G$1,G73*(G$1-G73),0)</f>
        <v>1750</v>
      </c>
    </row>
    <row r="74" spans="1:8" x14ac:dyDescent="0.25">
      <c r="A74">
        <v>71</v>
      </c>
      <c r="B74">
        <f t="shared" si="129"/>
        <v>0</v>
      </c>
      <c r="C74">
        <v>71</v>
      </c>
      <c r="D74">
        <f t="shared" si="129"/>
        <v>1136</v>
      </c>
      <c r="E74">
        <v>71</v>
      </c>
      <c r="F74">
        <f t="shared" ref="F74" si="140">IF(E74&lt;E$1,E74*(E$1-E74),0)</f>
        <v>497</v>
      </c>
      <c r="G74">
        <v>71</v>
      </c>
      <c r="H74">
        <f t="shared" ref="H74" si="141">IF(G74&lt;G$1,G74*(G$1-G74),0)</f>
        <v>1704</v>
      </c>
    </row>
    <row r="75" spans="1:8" x14ac:dyDescent="0.25">
      <c r="A75">
        <v>72</v>
      </c>
      <c r="B75">
        <f t="shared" si="129"/>
        <v>0</v>
      </c>
      <c r="C75">
        <v>72</v>
      </c>
      <c r="D75">
        <f t="shared" si="129"/>
        <v>1080</v>
      </c>
      <c r="E75">
        <v>72</v>
      </c>
      <c r="F75">
        <f t="shared" ref="F75" si="142">IF(E75&lt;E$1,E75*(E$1-E75),0)</f>
        <v>432</v>
      </c>
      <c r="G75">
        <v>72</v>
      </c>
      <c r="H75">
        <f t="shared" ref="H75" si="143">IF(G75&lt;G$1,G75*(G$1-G75),0)</f>
        <v>1656</v>
      </c>
    </row>
    <row r="76" spans="1:8" x14ac:dyDescent="0.25">
      <c r="A76">
        <v>73</v>
      </c>
      <c r="B76">
        <f t="shared" si="129"/>
        <v>0</v>
      </c>
      <c r="C76">
        <v>73</v>
      </c>
      <c r="D76">
        <f t="shared" si="129"/>
        <v>1022</v>
      </c>
      <c r="E76">
        <v>73</v>
      </c>
      <c r="F76">
        <f t="shared" ref="F76" si="144">IF(E76&lt;E$1,E76*(E$1-E76),0)</f>
        <v>365</v>
      </c>
      <c r="G76">
        <v>73</v>
      </c>
      <c r="H76">
        <f t="shared" ref="H76" si="145">IF(G76&lt;G$1,G76*(G$1-G76),0)</f>
        <v>1606</v>
      </c>
    </row>
    <row r="77" spans="1:8" x14ac:dyDescent="0.25">
      <c r="A77">
        <v>74</v>
      </c>
      <c r="B77">
        <f t="shared" si="129"/>
        <v>0</v>
      </c>
      <c r="C77">
        <v>74</v>
      </c>
      <c r="D77">
        <f t="shared" si="129"/>
        <v>962</v>
      </c>
      <c r="E77">
        <v>74</v>
      </c>
      <c r="F77">
        <f t="shared" ref="F77" si="146">IF(E77&lt;E$1,E77*(E$1-E77),0)</f>
        <v>296</v>
      </c>
      <c r="G77">
        <v>74</v>
      </c>
      <c r="H77">
        <f t="shared" ref="H77" si="147">IF(G77&lt;G$1,G77*(G$1-G77),0)</f>
        <v>1554</v>
      </c>
    </row>
    <row r="78" spans="1:8" x14ac:dyDescent="0.25">
      <c r="A78">
        <v>75</v>
      </c>
      <c r="B78">
        <f t="shared" si="129"/>
        <v>0</v>
      </c>
      <c r="C78">
        <v>75</v>
      </c>
      <c r="D78">
        <f t="shared" si="129"/>
        <v>900</v>
      </c>
      <c r="E78">
        <v>75</v>
      </c>
      <c r="F78">
        <f t="shared" ref="F78" si="148">IF(E78&lt;E$1,E78*(E$1-E78),0)</f>
        <v>225</v>
      </c>
      <c r="G78">
        <v>75</v>
      </c>
      <c r="H78">
        <f t="shared" ref="H78" si="149">IF(G78&lt;G$1,G78*(G$1-G78),0)</f>
        <v>1500</v>
      </c>
    </row>
    <row r="79" spans="1:8" x14ac:dyDescent="0.25">
      <c r="A79">
        <v>76</v>
      </c>
      <c r="B79">
        <f t="shared" si="129"/>
        <v>0</v>
      </c>
      <c r="C79">
        <v>76</v>
      </c>
      <c r="D79">
        <f t="shared" si="129"/>
        <v>836</v>
      </c>
      <c r="E79">
        <v>76</v>
      </c>
      <c r="F79">
        <f t="shared" ref="F79" si="150">IF(E79&lt;E$1,E79*(E$1-E79),0)</f>
        <v>152</v>
      </c>
      <c r="G79">
        <v>76</v>
      </c>
      <c r="H79">
        <f t="shared" ref="H79" si="151">IF(G79&lt;G$1,G79*(G$1-G79),0)</f>
        <v>1444</v>
      </c>
    </row>
    <row r="80" spans="1:8" x14ac:dyDescent="0.25">
      <c r="A80">
        <v>77</v>
      </c>
      <c r="B80">
        <f t="shared" si="129"/>
        <v>0</v>
      </c>
      <c r="C80">
        <v>77</v>
      </c>
      <c r="D80">
        <f t="shared" si="129"/>
        <v>770</v>
      </c>
      <c r="E80">
        <v>77</v>
      </c>
      <c r="F80">
        <f t="shared" ref="F80" si="152">IF(E80&lt;E$1,E80*(E$1-E80),0)</f>
        <v>77</v>
      </c>
      <c r="G80">
        <v>77</v>
      </c>
      <c r="H80">
        <f t="shared" ref="H80" si="153">IF(G80&lt;G$1,G80*(G$1-G80),0)</f>
        <v>1386</v>
      </c>
    </row>
    <row r="81" spans="1:8" x14ac:dyDescent="0.25">
      <c r="A81">
        <v>78</v>
      </c>
      <c r="B81">
        <f t="shared" si="129"/>
        <v>0</v>
      </c>
      <c r="C81">
        <v>78</v>
      </c>
      <c r="D81">
        <f t="shared" si="129"/>
        <v>702</v>
      </c>
      <c r="E81">
        <v>78</v>
      </c>
      <c r="F81">
        <f t="shared" ref="F81" si="154">IF(E81&lt;E$1,E81*(E$1-E81),0)</f>
        <v>0</v>
      </c>
      <c r="G81">
        <v>78</v>
      </c>
      <c r="H81">
        <f t="shared" ref="H81" si="155">IF(G81&lt;G$1,G81*(G$1-G81),0)</f>
        <v>1326</v>
      </c>
    </row>
    <row r="82" spans="1:8" x14ac:dyDescent="0.25">
      <c r="A82">
        <v>79</v>
      </c>
      <c r="B82">
        <f t="shared" si="129"/>
        <v>0</v>
      </c>
      <c r="C82">
        <v>79</v>
      </c>
      <c r="D82">
        <f t="shared" si="129"/>
        <v>632</v>
      </c>
      <c r="E82">
        <v>79</v>
      </c>
      <c r="F82">
        <f t="shared" ref="F82" si="156">IF(E82&lt;E$1,E82*(E$1-E82),0)</f>
        <v>0</v>
      </c>
      <c r="G82">
        <v>79</v>
      </c>
      <c r="H82">
        <f t="shared" ref="H82" si="157">IF(G82&lt;G$1,G82*(G$1-G82),0)</f>
        <v>1264</v>
      </c>
    </row>
    <row r="83" spans="1:8" x14ac:dyDescent="0.25">
      <c r="A83">
        <v>80</v>
      </c>
      <c r="B83">
        <f t="shared" si="129"/>
        <v>0</v>
      </c>
      <c r="C83">
        <v>80</v>
      </c>
      <c r="D83">
        <f t="shared" si="129"/>
        <v>560</v>
      </c>
      <c r="E83">
        <v>80</v>
      </c>
      <c r="F83">
        <f t="shared" ref="F83" si="158">IF(E83&lt;E$1,E83*(E$1-E83),0)</f>
        <v>0</v>
      </c>
      <c r="G83">
        <v>80</v>
      </c>
      <c r="H83">
        <f t="shared" ref="H83" si="159">IF(G83&lt;G$1,G83*(G$1-G83),0)</f>
        <v>1200</v>
      </c>
    </row>
    <row r="84" spans="1:8" x14ac:dyDescent="0.25">
      <c r="A84">
        <v>81</v>
      </c>
      <c r="B84">
        <f t="shared" si="129"/>
        <v>0</v>
      </c>
      <c r="C84">
        <v>81</v>
      </c>
      <c r="D84">
        <f t="shared" si="129"/>
        <v>486</v>
      </c>
      <c r="E84">
        <v>81</v>
      </c>
      <c r="F84">
        <f t="shared" ref="F84" si="160">IF(E84&lt;E$1,E84*(E$1-E84),0)</f>
        <v>0</v>
      </c>
      <c r="G84">
        <v>81</v>
      </c>
      <c r="H84">
        <f t="shared" ref="H84" si="161">IF(G84&lt;G$1,G84*(G$1-G84),0)</f>
        <v>1134</v>
      </c>
    </row>
    <row r="85" spans="1:8" x14ac:dyDescent="0.25">
      <c r="A85">
        <v>82</v>
      </c>
      <c r="B85">
        <f t="shared" si="129"/>
        <v>0</v>
      </c>
      <c r="C85">
        <v>82</v>
      </c>
      <c r="D85">
        <f t="shared" si="129"/>
        <v>410</v>
      </c>
      <c r="E85">
        <v>82</v>
      </c>
      <c r="F85">
        <f t="shared" ref="F85" si="162">IF(E85&lt;E$1,E85*(E$1-E85),0)</f>
        <v>0</v>
      </c>
      <c r="G85">
        <v>82</v>
      </c>
      <c r="H85">
        <f t="shared" ref="H85" si="163">IF(G85&lt;G$1,G85*(G$1-G85),0)</f>
        <v>1066</v>
      </c>
    </row>
    <row r="86" spans="1:8" x14ac:dyDescent="0.25">
      <c r="A86">
        <v>83</v>
      </c>
      <c r="B86">
        <f t="shared" si="129"/>
        <v>0</v>
      </c>
      <c r="C86">
        <v>83</v>
      </c>
      <c r="D86">
        <f t="shared" si="129"/>
        <v>332</v>
      </c>
      <c r="E86">
        <v>83</v>
      </c>
      <c r="F86">
        <f t="shared" ref="F86" si="164">IF(E86&lt;E$1,E86*(E$1-E86),0)</f>
        <v>0</v>
      </c>
      <c r="G86">
        <v>83</v>
      </c>
      <c r="H86">
        <f t="shared" ref="H86" si="165">IF(G86&lt;G$1,G86*(G$1-G86),0)</f>
        <v>996</v>
      </c>
    </row>
    <row r="87" spans="1:8" x14ac:dyDescent="0.25">
      <c r="A87">
        <v>84</v>
      </c>
      <c r="B87">
        <f t="shared" si="129"/>
        <v>0</v>
      </c>
      <c r="C87">
        <v>84</v>
      </c>
      <c r="D87">
        <f t="shared" si="129"/>
        <v>252</v>
      </c>
      <c r="E87">
        <v>84</v>
      </c>
      <c r="F87">
        <f t="shared" ref="F87" si="166">IF(E87&lt;E$1,E87*(E$1-E87),0)</f>
        <v>0</v>
      </c>
      <c r="G87">
        <v>84</v>
      </c>
      <c r="H87">
        <f t="shared" ref="H87" si="167">IF(G87&lt;G$1,G87*(G$1-G87),0)</f>
        <v>924</v>
      </c>
    </row>
    <row r="88" spans="1:8" x14ac:dyDescent="0.25">
      <c r="A88">
        <v>85</v>
      </c>
      <c r="B88">
        <f t="shared" si="129"/>
        <v>0</v>
      </c>
      <c r="C88">
        <v>85</v>
      </c>
      <c r="D88">
        <f t="shared" si="129"/>
        <v>170</v>
      </c>
      <c r="E88">
        <v>85</v>
      </c>
      <c r="F88">
        <f t="shared" ref="F88" si="168">IF(E88&lt;E$1,E88*(E$1-E88),0)</f>
        <v>0</v>
      </c>
      <c r="G88">
        <v>85</v>
      </c>
      <c r="H88">
        <f t="shared" ref="H88" si="169">IF(G88&lt;G$1,G88*(G$1-G88),0)</f>
        <v>850</v>
      </c>
    </row>
    <row r="89" spans="1:8" x14ac:dyDescent="0.25">
      <c r="A89">
        <v>86</v>
      </c>
      <c r="B89">
        <f t="shared" si="129"/>
        <v>0</v>
      </c>
      <c r="C89">
        <v>86</v>
      </c>
      <c r="D89">
        <f t="shared" si="129"/>
        <v>86</v>
      </c>
      <c r="E89">
        <v>86</v>
      </c>
      <c r="F89">
        <f t="shared" ref="F89" si="170">IF(E89&lt;E$1,E89*(E$1-E89),0)</f>
        <v>0</v>
      </c>
      <c r="G89">
        <v>86</v>
      </c>
      <c r="H89">
        <f t="shared" ref="H89" si="171">IF(G89&lt;G$1,G89*(G$1-G89),0)</f>
        <v>774</v>
      </c>
    </row>
    <row r="90" spans="1:8" x14ac:dyDescent="0.25">
      <c r="A90">
        <v>87</v>
      </c>
      <c r="B90">
        <f t="shared" si="129"/>
        <v>0</v>
      </c>
      <c r="C90">
        <v>87</v>
      </c>
      <c r="D90">
        <f t="shared" si="129"/>
        <v>0</v>
      </c>
      <c r="E90">
        <v>87</v>
      </c>
      <c r="F90">
        <f t="shared" ref="F90" si="172">IF(E90&lt;E$1,E90*(E$1-E90),0)</f>
        <v>0</v>
      </c>
      <c r="G90">
        <v>87</v>
      </c>
      <c r="H90">
        <f t="shared" ref="H90" si="173">IF(G90&lt;G$1,G90*(G$1-G90),0)</f>
        <v>696</v>
      </c>
    </row>
    <row r="91" spans="1:8" x14ac:dyDescent="0.25">
      <c r="A91">
        <v>88</v>
      </c>
      <c r="B91">
        <f t="shared" si="129"/>
        <v>0</v>
      </c>
      <c r="C91">
        <v>88</v>
      </c>
      <c r="D91">
        <f t="shared" si="129"/>
        <v>0</v>
      </c>
      <c r="E91">
        <v>88</v>
      </c>
      <c r="F91">
        <f t="shared" ref="F91" si="174">IF(E91&lt;E$1,E91*(E$1-E91),0)</f>
        <v>0</v>
      </c>
      <c r="G91">
        <v>88</v>
      </c>
      <c r="H91">
        <f t="shared" ref="H91" si="175">IF(G91&lt;G$1,G91*(G$1-G91),0)</f>
        <v>616</v>
      </c>
    </row>
    <row r="92" spans="1:8" x14ac:dyDescent="0.25">
      <c r="A92">
        <v>89</v>
      </c>
      <c r="B92">
        <f t="shared" si="129"/>
        <v>0</v>
      </c>
      <c r="C92">
        <v>89</v>
      </c>
      <c r="D92">
        <f t="shared" si="129"/>
        <v>0</v>
      </c>
      <c r="E92">
        <v>89</v>
      </c>
      <c r="F92">
        <f t="shared" ref="F92" si="176">IF(E92&lt;E$1,E92*(E$1-E92),0)</f>
        <v>0</v>
      </c>
      <c r="G92">
        <v>89</v>
      </c>
      <c r="H92">
        <f t="shared" ref="H92" si="177">IF(G92&lt;G$1,G92*(G$1-G92),0)</f>
        <v>534</v>
      </c>
    </row>
    <row r="93" spans="1:8" x14ac:dyDescent="0.25">
      <c r="A93">
        <v>90</v>
      </c>
      <c r="B93">
        <f t="shared" si="129"/>
        <v>0</v>
      </c>
      <c r="C93">
        <v>90</v>
      </c>
      <c r="D93">
        <f t="shared" si="129"/>
        <v>0</v>
      </c>
      <c r="E93">
        <v>90</v>
      </c>
      <c r="F93">
        <f t="shared" ref="F93" si="178">IF(E93&lt;E$1,E93*(E$1-E93),0)</f>
        <v>0</v>
      </c>
      <c r="G93">
        <v>90</v>
      </c>
      <c r="H93">
        <f t="shared" ref="H93" si="179">IF(G93&lt;G$1,G93*(G$1-G93),0)</f>
        <v>450</v>
      </c>
    </row>
    <row r="94" spans="1:8" x14ac:dyDescent="0.25">
      <c r="A94">
        <v>91</v>
      </c>
      <c r="B94">
        <f t="shared" si="129"/>
        <v>0</v>
      </c>
      <c r="C94">
        <v>91</v>
      </c>
      <c r="D94">
        <f t="shared" si="129"/>
        <v>0</v>
      </c>
      <c r="E94">
        <v>91</v>
      </c>
      <c r="F94">
        <f t="shared" ref="F94" si="180">IF(E94&lt;E$1,E94*(E$1-E94),0)</f>
        <v>0</v>
      </c>
      <c r="G94">
        <v>91</v>
      </c>
      <c r="H94">
        <f t="shared" ref="H94" si="181">IF(G94&lt;G$1,G94*(G$1-G94),0)</f>
        <v>364</v>
      </c>
    </row>
    <row r="95" spans="1:8" x14ac:dyDescent="0.25">
      <c r="A95">
        <v>92</v>
      </c>
      <c r="B95">
        <f t="shared" si="129"/>
        <v>0</v>
      </c>
      <c r="C95">
        <v>92</v>
      </c>
      <c r="D95">
        <f t="shared" si="129"/>
        <v>0</v>
      </c>
      <c r="E95">
        <v>92</v>
      </c>
      <c r="F95">
        <f t="shared" ref="F95" si="182">IF(E95&lt;E$1,E95*(E$1-E95),0)</f>
        <v>0</v>
      </c>
      <c r="G95">
        <v>92</v>
      </c>
      <c r="H95">
        <f t="shared" ref="H95" si="183">IF(G95&lt;G$1,G95*(G$1-G95),0)</f>
        <v>276</v>
      </c>
    </row>
    <row r="96" spans="1:8" x14ac:dyDescent="0.25">
      <c r="A96">
        <v>93</v>
      </c>
      <c r="B96">
        <f t="shared" si="129"/>
        <v>0</v>
      </c>
      <c r="C96">
        <v>93</v>
      </c>
      <c r="D96">
        <f t="shared" si="129"/>
        <v>0</v>
      </c>
      <c r="E96">
        <v>93</v>
      </c>
      <c r="F96">
        <f t="shared" ref="F96" si="184">IF(E96&lt;E$1,E96*(E$1-E96),0)</f>
        <v>0</v>
      </c>
      <c r="G96">
        <v>93</v>
      </c>
      <c r="H96">
        <f t="shared" ref="H96" si="185">IF(G96&lt;G$1,G96*(G$1-G96),0)</f>
        <v>186</v>
      </c>
    </row>
    <row r="97" spans="1:8" x14ac:dyDescent="0.25">
      <c r="A97">
        <v>94</v>
      </c>
      <c r="B97">
        <f t="shared" si="129"/>
        <v>0</v>
      </c>
      <c r="C97">
        <v>94</v>
      </c>
      <c r="D97">
        <f t="shared" si="129"/>
        <v>0</v>
      </c>
      <c r="E97">
        <v>94</v>
      </c>
      <c r="F97">
        <f t="shared" ref="F97" si="186">IF(E97&lt;E$1,E97*(E$1-E97),0)</f>
        <v>0</v>
      </c>
      <c r="G97">
        <v>94</v>
      </c>
      <c r="H97">
        <f t="shared" ref="H97" si="187">IF(G97&lt;G$1,G97*(G$1-G97),0)</f>
        <v>94</v>
      </c>
    </row>
    <row r="98" spans="1:8" x14ac:dyDescent="0.25">
      <c r="A98">
        <v>95</v>
      </c>
      <c r="B98">
        <f t="shared" si="129"/>
        <v>0</v>
      </c>
      <c r="C98">
        <v>95</v>
      </c>
      <c r="D98">
        <f t="shared" si="129"/>
        <v>0</v>
      </c>
      <c r="E98">
        <v>95</v>
      </c>
      <c r="F98">
        <f t="shared" ref="F98" si="188">IF(E98&lt;E$1,E98*(E$1-E98),0)</f>
        <v>0</v>
      </c>
      <c r="G98">
        <v>95</v>
      </c>
      <c r="H98">
        <f t="shared" ref="H98" si="189">IF(G98&lt;G$1,G98*(G$1-G98),0)</f>
        <v>0</v>
      </c>
    </row>
    <row r="99" spans="1:8" x14ac:dyDescent="0.25">
      <c r="A99">
        <v>96</v>
      </c>
      <c r="B99">
        <f t="shared" si="129"/>
        <v>0</v>
      </c>
      <c r="C99">
        <v>96</v>
      </c>
      <c r="D99">
        <f t="shared" si="129"/>
        <v>0</v>
      </c>
      <c r="E99">
        <v>96</v>
      </c>
      <c r="F99">
        <f t="shared" ref="F99" si="190">IF(E99&lt;E$1,E99*(E$1-E99),0)</f>
        <v>0</v>
      </c>
      <c r="G99">
        <v>96</v>
      </c>
      <c r="H99">
        <f t="shared" ref="H99" si="191">IF(G99&lt;G$1,G99*(G$1-G99),0)</f>
        <v>0</v>
      </c>
    </row>
    <row r="100" spans="1:8" x14ac:dyDescent="0.25">
      <c r="A100">
        <v>97</v>
      </c>
      <c r="B100">
        <f t="shared" si="129"/>
        <v>0</v>
      </c>
      <c r="C100">
        <v>97</v>
      </c>
      <c r="D100">
        <f t="shared" si="129"/>
        <v>0</v>
      </c>
      <c r="E100">
        <v>97</v>
      </c>
      <c r="F100">
        <f t="shared" ref="F100" si="192">IF(E100&lt;E$1,E100*(E$1-E100),0)</f>
        <v>0</v>
      </c>
      <c r="G100">
        <v>97</v>
      </c>
      <c r="H100">
        <f t="shared" ref="H100" si="193">IF(G100&lt;G$1,G100*(G$1-G100),0)</f>
        <v>0</v>
      </c>
    </row>
    <row r="101" spans="1:8" x14ac:dyDescent="0.25">
      <c r="A101">
        <v>98</v>
      </c>
      <c r="B101">
        <f t="shared" si="129"/>
        <v>0</v>
      </c>
      <c r="C101">
        <v>98</v>
      </c>
      <c r="D101">
        <f t="shared" si="129"/>
        <v>0</v>
      </c>
      <c r="E101">
        <v>98</v>
      </c>
      <c r="F101">
        <f t="shared" ref="F101" si="194">IF(E101&lt;E$1,E101*(E$1-E101),0)</f>
        <v>0</v>
      </c>
      <c r="G101">
        <v>98</v>
      </c>
      <c r="H101">
        <f t="shared" ref="H101" si="195">IF(G101&lt;G$1,G101*(G$1-G101),0)</f>
        <v>0</v>
      </c>
    </row>
    <row r="102" spans="1:8" x14ac:dyDescent="0.25">
      <c r="A102">
        <v>99</v>
      </c>
      <c r="B102">
        <f t="shared" si="129"/>
        <v>0</v>
      </c>
      <c r="C102">
        <v>99</v>
      </c>
      <c r="D102">
        <f t="shared" si="129"/>
        <v>0</v>
      </c>
      <c r="E102">
        <v>99</v>
      </c>
      <c r="F102">
        <f t="shared" ref="F102" si="196">IF(E102&lt;E$1,E102*(E$1-E102),0)</f>
        <v>0</v>
      </c>
      <c r="G102">
        <v>99</v>
      </c>
      <c r="H102">
        <f t="shared" ref="H102" si="197">IF(G102&lt;G$1,G102*(G$1-G102),0)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C4CC-38A6-4FBE-A835-A16761637962}">
  <dimension ref="A1:I34"/>
  <sheetViews>
    <sheetView workbookViewId="0">
      <selection activeCell="M25" sqref="M25"/>
    </sheetView>
  </sheetViews>
  <sheetFormatPr defaultRowHeight="15" x14ac:dyDescent="0.25"/>
  <cols>
    <col min="1" max="1" width="12" bestFit="1" customWidth="1"/>
    <col min="3" max="3" width="11" bestFit="1" customWidth="1"/>
    <col min="4" max="4" width="12" bestFit="1" customWidth="1"/>
  </cols>
  <sheetData>
    <row r="1" spans="1:9" x14ac:dyDescent="0.25">
      <c r="A1" t="str">
        <f>_xlfn.CONCAT(input!B1:E1)</f>
        <v>49877895</v>
      </c>
      <c r="F1" s="1" t="s">
        <v>5</v>
      </c>
    </row>
    <row r="2" spans="1:9" x14ac:dyDescent="0.25">
      <c r="A2">
        <f>1*_xlfn.CONCAT(input!B2:E2)</f>
        <v>356137815021882</v>
      </c>
      <c r="F2" s="1">
        <f>G34-B34</f>
        <v>32607562</v>
      </c>
    </row>
    <row r="4" spans="1:9" x14ac:dyDescent="0.25">
      <c r="A4" t="s">
        <v>2</v>
      </c>
      <c r="B4" t="s">
        <v>3</v>
      </c>
      <c r="C4" t="s">
        <v>4</v>
      </c>
      <c r="G4" t="s">
        <v>2</v>
      </c>
      <c r="H4" t="s">
        <v>3</v>
      </c>
      <c r="I4" t="s">
        <v>4</v>
      </c>
    </row>
    <row r="5" spans="1:9" x14ac:dyDescent="0.25">
      <c r="A5">
        <v>0</v>
      </c>
      <c r="B5">
        <f>ROUND((A5+C5)/2,0)</f>
        <v>12469474</v>
      </c>
      <c r="C5">
        <f>ROUND($A1/2,0)</f>
        <v>24938948</v>
      </c>
      <c r="D5">
        <f>B5*($A$1-B5)</f>
        <v>466463333040554</v>
      </c>
      <c r="F5">
        <f>ROUND($A1/2,0)</f>
        <v>24938948</v>
      </c>
      <c r="G5">
        <f>ROUND((F5+H5)/2,0)</f>
        <v>37408422</v>
      </c>
      <c r="H5" t="str">
        <f>$A1</f>
        <v>49877895</v>
      </c>
      <c r="I5">
        <f>G5*($A$1-G5)</f>
        <v>466463308101606</v>
      </c>
    </row>
    <row r="6" spans="1:9" x14ac:dyDescent="0.25">
      <c r="A6">
        <f>IF(D5&gt;$A$2,A5,B5)</f>
        <v>0</v>
      </c>
      <c r="B6">
        <f>ROUND((A6+C6)/2,0)</f>
        <v>6234737</v>
      </c>
      <c r="C6">
        <f>IF(D5&gt;$A$2,B5,C5)</f>
        <v>12469474</v>
      </c>
      <c r="D6">
        <f>B6*($A$1-B6)</f>
        <v>272103611979446</v>
      </c>
      <c r="F6">
        <f>IF(I5&lt;$A$2,F5,G5)</f>
        <v>37408422</v>
      </c>
      <c r="G6">
        <f>ROUND((F6+H6)/2,0)</f>
        <v>43643159</v>
      </c>
      <c r="H6" t="str">
        <f>IF(I5&lt;$A$2,G5,H5)</f>
        <v>49877895</v>
      </c>
      <c r="I6">
        <f>G6*($A$1-G6)</f>
        <v>272103574571024</v>
      </c>
    </row>
    <row r="7" spans="1:9" x14ac:dyDescent="0.25">
      <c r="A7">
        <f t="shared" ref="A7:A29" si="0">IF(D6&gt;$A$2,A6,B6)</f>
        <v>6234737</v>
      </c>
      <c r="B7">
        <f t="shared" ref="B7:B34" si="1">ROUND((A7+C7)/2,0)</f>
        <v>9352106</v>
      </c>
      <c r="C7">
        <f t="shared" ref="C7:C29" si="2">IF(D6&gt;$A$2,B6,C6)</f>
        <v>12469474</v>
      </c>
      <c r="D7">
        <f t="shared" ref="D7:D29" si="3">B7*($A$1-B7)</f>
        <v>379001474461634</v>
      </c>
      <c r="F7">
        <f t="shared" ref="F7:F34" si="4">IF(I6&lt;$A$2,F6,G6)</f>
        <v>37408422</v>
      </c>
      <c r="G7">
        <f t="shared" ref="G7:G34" si="5">ROUND((F7+H7)/2,0)</f>
        <v>40525791</v>
      </c>
      <c r="H7">
        <f t="shared" ref="H7:H34" si="6">IF(I6&lt;$A$2,G6,H6)</f>
        <v>43643159</v>
      </c>
      <c r="I7">
        <f t="shared" ref="I7:I34" si="7">G7*($A$1-G7)</f>
        <v>379001412114264</v>
      </c>
    </row>
    <row r="8" spans="1:9" x14ac:dyDescent="0.25">
      <c r="A8">
        <f t="shared" si="0"/>
        <v>6234737</v>
      </c>
      <c r="B8">
        <f t="shared" si="1"/>
        <v>7793422</v>
      </c>
      <c r="C8">
        <f t="shared" si="2"/>
        <v>9352106</v>
      </c>
      <c r="D8">
        <f t="shared" si="3"/>
        <v>327982057736606</v>
      </c>
      <c r="F8">
        <f t="shared" si="4"/>
        <v>40525791</v>
      </c>
      <c r="G8">
        <f t="shared" si="5"/>
        <v>42084475</v>
      </c>
      <c r="H8">
        <f t="shared" si="6"/>
        <v>43643159</v>
      </c>
      <c r="I8">
        <f t="shared" si="7"/>
        <v>327981989154500</v>
      </c>
    </row>
    <row r="9" spans="1:9" x14ac:dyDescent="0.25">
      <c r="A9">
        <f t="shared" si="0"/>
        <v>7793422</v>
      </c>
      <c r="B9">
        <f t="shared" si="1"/>
        <v>8572764</v>
      </c>
      <c r="C9">
        <f t="shared" si="2"/>
        <v>9352106</v>
      </c>
      <c r="D9">
        <f t="shared" si="3"/>
        <v>354099140052084</v>
      </c>
      <c r="F9">
        <f t="shared" si="4"/>
        <v>40525791</v>
      </c>
      <c r="G9">
        <f t="shared" si="5"/>
        <v>41305133</v>
      </c>
      <c r="H9">
        <f t="shared" si="6"/>
        <v>42084475</v>
      </c>
      <c r="I9">
        <f t="shared" si="7"/>
        <v>354099074587346</v>
      </c>
    </row>
    <row r="10" spans="1:9" x14ac:dyDescent="0.25">
      <c r="A10">
        <f t="shared" si="0"/>
        <v>8572764</v>
      </c>
      <c r="B10">
        <f t="shared" si="1"/>
        <v>8962435</v>
      </c>
      <c r="C10">
        <f t="shared" si="2"/>
        <v>9352106</v>
      </c>
      <c r="D10">
        <f t="shared" si="3"/>
        <v>366702150745100</v>
      </c>
      <c r="F10">
        <f t="shared" si="4"/>
        <v>40525791</v>
      </c>
      <c r="G10">
        <f t="shared" si="5"/>
        <v>40915462</v>
      </c>
      <c r="H10">
        <f t="shared" si="6"/>
        <v>41305133</v>
      </c>
      <c r="I10">
        <f t="shared" si="7"/>
        <v>366702086839046</v>
      </c>
    </row>
    <row r="11" spans="1:9" x14ac:dyDescent="0.25">
      <c r="A11">
        <f t="shared" si="0"/>
        <v>8572764</v>
      </c>
      <c r="B11">
        <f t="shared" si="1"/>
        <v>8767600</v>
      </c>
      <c r="C11">
        <f t="shared" si="2"/>
        <v>8962435</v>
      </c>
      <c r="D11">
        <f t="shared" si="3"/>
        <v>360438622442000</v>
      </c>
      <c r="F11">
        <f t="shared" si="4"/>
        <v>40915462</v>
      </c>
      <c r="G11">
        <f t="shared" si="5"/>
        <v>41110298</v>
      </c>
      <c r="H11">
        <f t="shared" si="6"/>
        <v>41305133</v>
      </c>
      <c r="I11">
        <f t="shared" si="7"/>
        <v>360438525413906</v>
      </c>
    </row>
    <row r="12" spans="1:9" x14ac:dyDescent="0.25">
      <c r="A12">
        <f t="shared" si="0"/>
        <v>8572764</v>
      </c>
      <c r="B12">
        <f t="shared" si="1"/>
        <v>8670182</v>
      </c>
      <c r="C12">
        <f t="shared" si="2"/>
        <v>8767600</v>
      </c>
      <c r="D12">
        <f t="shared" si="3"/>
        <v>357278371513766</v>
      </c>
      <c r="F12">
        <f t="shared" si="4"/>
        <v>41110298</v>
      </c>
      <c r="G12">
        <f t="shared" si="5"/>
        <v>41207716</v>
      </c>
      <c r="H12">
        <f t="shared" si="6"/>
        <v>41305133</v>
      </c>
      <c r="I12">
        <f t="shared" si="7"/>
        <v>357278273901164</v>
      </c>
    </row>
    <row r="13" spans="1:9" x14ac:dyDescent="0.25">
      <c r="A13">
        <f t="shared" si="0"/>
        <v>8572764</v>
      </c>
      <c r="B13">
        <f t="shared" si="1"/>
        <v>8621473</v>
      </c>
      <c r="C13">
        <f t="shared" si="2"/>
        <v>8670182</v>
      </c>
      <c r="D13">
        <f t="shared" si="3"/>
        <v>355691128349606</v>
      </c>
      <c r="F13">
        <f t="shared" si="4"/>
        <v>41207716</v>
      </c>
      <c r="G13">
        <f t="shared" si="5"/>
        <v>41256425</v>
      </c>
      <c r="H13">
        <f t="shared" si="6"/>
        <v>41305133</v>
      </c>
      <c r="I13">
        <f t="shared" si="7"/>
        <v>355691030444750</v>
      </c>
    </row>
    <row r="14" spans="1:9" x14ac:dyDescent="0.25">
      <c r="A14">
        <f t="shared" si="0"/>
        <v>8621473</v>
      </c>
      <c r="B14">
        <f t="shared" si="1"/>
        <v>8645828</v>
      </c>
      <c r="C14">
        <f t="shared" si="2"/>
        <v>8670182</v>
      </c>
      <c r="D14">
        <f t="shared" si="3"/>
        <v>356485359366476</v>
      </c>
      <c r="F14">
        <f t="shared" si="4"/>
        <v>41207716</v>
      </c>
      <c r="G14">
        <f t="shared" si="5"/>
        <v>41232071</v>
      </c>
      <c r="H14">
        <f t="shared" si="6"/>
        <v>41256425</v>
      </c>
      <c r="I14">
        <f t="shared" si="7"/>
        <v>356485229021504</v>
      </c>
    </row>
    <row r="15" spans="1:9" x14ac:dyDescent="0.25">
      <c r="A15">
        <f t="shared" si="0"/>
        <v>8621473</v>
      </c>
      <c r="B15">
        <f t="shared" si="1"/>
        <v>8633651</v>
      </c>
      <c r="C15">
        <f t="shared" si="2"/>
        <v>8645828</v>
      </c>
      <c r="D15">
        <f t="shared" si="3"/>
        <v>356088408454844</v>
      </c>
      <c r="F15">
        <f t="shared" si="4"/>
        <v>41232071</v>
      </c>
      <c r="G15">
        <f t="shared" si="5"/>
        <v>41244248</v>
      </c>
      <c r="H15">
        <f t="shared" si="6"/>
        <v>41256425</v>
      </c>
      <c r="I15">
        <f t="shared" si="7"/>
        <v>356088278012456</v>
      </c>
    </row>
    <row r="16" spans="1:9" x14ac:dyDescent="0.25">
      <c r="A16">
        <f t="shared" si="0"/>
        <v>8633651</v>
      </c>
      <c r="B16">
        <f t="shared" si="1"/>
        <v>8639740</v>
      </c>
      <c r="C16">
        <f t="shared" si="2"/>
        <v>8645828</v>
      </c>
      <c r="D16">
        <f t="shared" si="3"/>
        <v>356286937279700</v>
      </c>
      <c r="F16">
        <f t="shared" si="4"/>
        <v>41232071</v>
      </c>
      <c r="G16">
        <f t="shared" si="5"/>
        <v>41238160</v>
      </c>
      <c r="H16">
        <f t="shared" si="6"/>
        <v>41244248</v>
      </c>
      <c r="I16">
        <f t="shared" si="7"/>
        <v>356286774287600</v>
      </c>
    </row>
    <row r="17" spans="1:9" x14ac:dyDescent="0.25">
      <c r="A17">
        <f t="shared" si="0"/>
        <v>8633651</v>
      </c>
      <c r="B17">
        <f t="shared" si="1"/>
        <v>8636696</v>
      </c>
      <c r="C17">
        <f t="shared" si="2"/>
        <v>8639740</v>
      </c>
      <c r="D17">
        <f t="shared" si="3"/>
        <v>356187698438504</v>
      </c>
      <c r="F17">
        <f t="shared" si="4"/>
        <v>41238160</v>
      </c>
      <c r="G17">
        <f t="shared" si="5"/>
        <v>41241204</v>
      </c>
      <c r="H17">
        <f t="shared" si="6"/>
        <v>41244248</v>
      </c>
      <c r="I17">
        <f t="shared" si="7"/>
        <v>356187535415964</v>
      </c>
    </row>
    <row r="18" spans="1:9" x14ac:dyDescent="0.25">
      <c r="A18">
        <f t="shared" si="0"/>
        <v>8633651</v>
      </c>
      <c r="B18">
        <f t="shared" si="1"/>
        <v>8635174</v>
      </c>
      <c r="C18">
        <f t="shared" si="2"/>
        <v>8636696</v>
      </c>
      <c r="D18">
        <f t="shared" si="3"/>
        <v>356138072068454</v>
      </c>
      <c r="F18">
        <f t="shared" si="4"/>
        <v>41241204</v>
      </c>
      <c r="G18">
        <f t="shared" si="5"/>
        <v>41242726</v>
      </c>
      <c r="H18">
        <f t="shared" si="6"/>
        <v>41244248</v>
      </c>
      <c r="I18">
        <f t="shared" si="7"/>
        <v>356137909030694</v>
      </c>
    </row>
    <row r="19" spans="1:9" x14ac:dyDescent="0.25">
      <c r="A19">
        <f t="shared" si="0"/>
        <v>8633651</v>
      </c>
      <c r="B19">
        <f t="shared" si="1"/>
        <v>8634413</v>
      </c>
      <c r="C19">
        <f t="shared" si="2"/>
        <v>8635174</v>
      </c>
      <c r="D19">
        <f t="shared" si="3"/>
        <v>356113257146066</v>
      </c>
      <c r="F19">
        <f t="shared" si="4"/>
        <v>41242726</v>
      </c>
      <c r="G19">
        <f t="shared" si="5"/>
        <v>41243487</v>
      </c>
      <c r="H19">
        <f t="shared" si="6"/>
        <v>41244248</v>
      </c>
      <c r="I19">
        <f t="shared" si="7"/>
        <v>356113094100696</v>
      </c>
    </row>
    <row r="20" spans="1:9" x14ac:dyDescent="0.25">
      <c r="A20">
        <f t="shared" si="0"/>
        <v>8634413</v>
      </c>
      <c r="B20">
        <f t="shared" si="1"/>
        <v>8634794</v>
      </c>
      <c r="C20">
        <f t="shared" si="2"/>
        <v>8635174</v>
      </c>
      <c r="D20">
        <f t="shared" si="3"/>
        <v>356125681056194</v>
      </c>
      <c r="F20">
        <f t="shared" si="4"/>
        <v>41242726</v>
      </c>
      <c r="G20">
        <f t="shared" si="5"/>
        <v>41243107</v>
      </c>
      <c r="H20">
        <f t="shared" si="6"/>
        <v>41243487</v>
      </c>
      <c r="I20">
        <f t="shared" si="7"/>
        <v>356125485406316</v>
      </c>
    </row>
    <row r="21" spans="1:9" x14ac:dyDescent="0.25">
      <c r="A21">
        <f t="shared" si="0"/>
        <v>8634794</v>
      </c>
      <c r="B21">
        <f t="shared" si="1"/>
        <v>8634984</v>
      </c>
      <c r="C21">
        <f t="shared" si="2"/>
        <v>8635174</v>
      </c>
      <c r="D21">
        <f t="shared" si="3"/>
        <v>356131876598424</v>
      </c>
      <c r="F21">
        <f t="shared" si="4"/>
        <v>41242726</v>
      </c>
      <c r="G21">
        <f t="shared" si="5"/>
        <v>41242917</v>
      </c>
      <c r="H21">
        <f t="shared" si="6"/>
        <v>41243107</v>
      </c>
      <c r="I21">
        <f t="shared" si="7"/>
        <v>356131680950826</v>
      </c>
    </row>
    <row r="22" spans="1:9" x14ac:dyDescent="0.25">
      <c r="A22">
        <f t="shared" si="0"/>
        <v>8634984</v>
      </c>
      <c r="B22">
        <f t="shared" si="1"/>
        <v>8635079</v>
      </c>
      <c r="C22">
        <f t="shared" si="2"/>
        <v>8635174</v>
      </c>
      <c r="D22">
        <f t="shared" si="3"/>
        <v>356134974342464</v>
      </c>
      <c r="F22">
        <f t="shared" si="4"/>
        <v>41242726</v>
      </c>
      <c r="G22">
        <f t="shared" si="5"/>
        <v>41242822</v>
      </c>
      <c r="H22">
        <f t="shared" si="6"/>
        <v>41242917</v>
      </c>
      <c r="I22">
        <f t="shared" si="7"/>
        <v>356134778696006</v>
      </c>
    </row>
    <row r="23" spans="1:9" x14ac:dyDescent="0.25">
      <c r="A23">
        <f t="shared" si="0"/>
        <v>8635079</v>
      </c>
      <c r="B23">
        <f t="shared" si="1"/>
        <v>8635127</v>
      </c>
      <c r="C23">
        <f t="shared" si="2"/>
        <v>8635174</v>
      </c>
      <c r="D23">
        <f t="shared" si="3"/>
        <v>356136539511536</v>
      </c>
      <c r="F23">
        <f t="shared" si="4"/>
        <v>41242726</v>
      </c>
      <c r="G23">
        <f t="shared" si="5"/>
        <v>41242774</v>
      </c>
      <c r="H23">
        <f t="shared" si="6"/>
        <v>41242822</v>
      </c>
      <c r="I23">
        <f t="shared" si="7"/>
        <v>356136343865654</v>
      </c>
    </row>
    <row r="24" spans="1:9" x14ac:dyDescent="0.25">
      <c r="A24">
        <f t="shared" si="0"/>
        <v>8635127</v>
      </c>
      <c r="B24">
        <f t="shared" si="1"/>
        <v>8635151</v>
      </c>
      <c r="C24">
        <f t="shared" si="2"/>
        <v>8635174</v>
      </c>
      <c r="D24">
        <f t="shared" si="3"/>
        <v>356137322094344</v>
      </c>
      <c r="F24">
        <f t="shared" si="4"/>
        <v>41242726</v>
      </c>
      <c r="G24">
        <f t="shared" si="5"/>
        <v>41242750</v>
      </c>
      <c r="H24">
        <f t="shared" si="6"/>
        <v>41242774</v>
      </c>
      <c r="I24">
        <f t="shared" si="7"/>
        <v>356137126448750</v>
      </c>
    </row>
    <row r="25" spans="1:9" x14ac:dyDescent="0.25">
      <c r="A25">
        <f t="shared" si="0"/>
        <v>8635151</v>
      </c>
      <c r="B25">
        <f t="shared" si="1"/>
        <v>8635163</v>
      </c>
      <c r="C25">
        <f t="shared" si="2"/>
        <v>8635174</v>
      </c>
      <c r="D25">
        <f t="shared" si="3"/>
        <v>356137713385316</v>
      </c>
      <c r="F25">
        <f t="shared" si="4"/>
        <v>41242726</v>
      </c>
      <c r="G25">
        <f t="shared" si="5"/>
        <v>41242738</v>
      </c>
      <c r="H25">
        <f t="shared" si="6"/>
        <v>41242750</v>
      </c>
      <c r="I25">
        <f t="shared" si="7"/>
        <v>356137517739866</v>
      </c>
    </row>
    <row r="26" spans="1:9" x14ac:dyDescent="0.25">
      <c r="A26">
        <f t="shared" si="0"/>
        <v>8635163</v>
      </c>
      <c r="B26">
        <f t="shared" si="1"/>
        <v>8635169</v>
      </c>
      <c r="C26">
        <f t="shared" si="2"/>
        <v>8635174</v>
      </c>
      <c r="D26">
        <f t="shared" si="3"/>
        <v>356137909030694</v>
      </c>
      <c r="F26">
        <f t="shared" si="4"/>
        <v>41242726</v>
      </c>
      <c r="G26">
        <f t="shared" si="5"/>
        <v>41242732</v>
      </c>
      <c r="H26">
        <f t="shared" si="6"/>
        <v>41242738</v>
      </c>
      <c r="I26">
        <f t="shared" si="7"/>
        <v>356137713385316</v>
      </c>
    </row>
    <row r="27" spans="1:9" x14ac:dyDescent="0.25">
      <c r="A27">
        <f t="shared" si="0"/>
        <v>8635163</v>
      </c>
      <c r="B27">
        <f t="shared" si="1"/>
        <v>8635166</v>
      </c>
      <c r="C27">
        <f t="shared" si="2"/>
        <v>8635169</v>
      </c>
      <c r="D27">
        <f t="shared" si="3"/>
        <v>356137811208014</v>
      </c>
      <c r="F27">
        <f t="shared" si="4"/>
        <v>41242726</v>
      </c>
      <c r="G27">
        <f t="shared" si="5"/>
        <v>41242729</v>
      </c>
      <c r="H27">
        <f t="shared" si="6"/>
        <v>41242732</v>
      </c>
      <c r="I27">
        <f t="shared" si="7"/>
        <v>356137811208014</v>
      </c>
    </row>
    <row r="28" spans="1:9" x14ac:dyDescent="0.25">
      <c r="A28">
        <f t="shared" si="0"/>
        <v>8635166</v>
      </c>
      <c r="B28">
        <f t="shared" si="1"/>
        <v>8635168</v>
      </c>
      <c r="C28">
        <f t="shared" si="2"/>
        <v>8635169</v>
      </c>
      <c r="D28">
        <f t="shared" si="3"/>
        <v>356137876423136</v>
      </c>
      <c r="F28">
        <f t="shared" si="4"/>
        <v>41242726</v>
      </c>
      <c r="G28">
        <f t="shared" si="5"/>
        <v>41242728</v>
      </c>
      <c r="H28">
        <f t="shared" si="6"/>
        <v>41242729</v>
      </c>
      <c r="I28">
        <f t="shared" si="7"/>
        <v>356137843815576</v>
      </c>
    </row>
    <row r="29" spans="1:9" x14ac:dyDescent="0.25">
      <c r="A29">
        <f t="shared" si="0"/>
        <v>8635166</v>
      </c>
      <c r="B29">
        <f t="shared" si="1"/>
        <v>8635167</v>
      </c>
      <c r="C29">
        <f t="shared" si="2"/>
        <v>8635168</v>
      </c>
      <c r="D29">
        <f t="shared" si="3"/>
        <v>356137843815576</v>
      </c>
      <c r="F29">
        <f t="shared" si="4"/>
        <v>41242728</v>
      </c>
      <c r="G29">
        <f t="shared" si="5"/>
        <v>41242729</v>
      </c>
      <c r="H29">
        <f t="shared" si="6"/>
        <v>41242729</v>
      </c>
      <c r="I29">
        <f t="shared" si="7"/>
        <v>356137811208014</v>
      </c>
    </row>
    <row r="30" spans="1:9" x14ac:dyDescent="0.25">
      <c r="A30">
        <f t="shared" ref="A30:A34" si="8">IF(D29&gt;$A$2,A29,B29)</f>
        <v>8635166</v>
      </c>
      <c r="B30">
        <f t="shared" si="1"/>
        <v>8635167</v>
      </c>
      <c r="C30">
        <f t="shared" ref="C30:C34" si="9">IF(D29&gt;$A$2,B29,C29)</f>
        <v>8635167</v>
      </c>
      <c r="D30">
        <f t="shared" ref="D30:D34" si="10">B30*($A$1-B30)</f>
        <v>356137843815576</v>
      </c>
      <c r="F30">
        <f t="shared" si="4"/>
        <v>41242728</v>
      </c>
      <c r="G30">
        <f t="shared" si="5"/>
        <v>41242729</v>
      </c>
      <c r="H30">
        <f t="shared" si="6"/>
        <v>41242729</v>
      </c>
      <c r="I30">
        <f t="shared" si="7"/>
        <v>356137811208014</v>
      </c>
    </row>
    <row r="31" spans="1:9" x14ac:dyDescent="0.25">
      <c r="A31">
        <f t="shared" si="8"/>
        <v>8635166</v>
      </c>
      <c r="B31">
        <f t="shared" si="1"/>
        <v>8635167</v>
      </c>
      <c r="C31">
        <f t="shared" si="9"/>
        <v>8635167</v>
      </c>
      <c r="D31">
        <f t="shared" si="10"/>
        <v>356137843815576</v>
      </c>
      <c r="F31">
        <f t="shared" si="4"/>
        <v>41242728</v>
      </c>
      <c r="G31">
        <f t="shared" si="5"/>
        <v>41242729</v>
      </c>
      <c r="H31">
        <f t="shared" si="6"/>
        <v>41242729</v>
      </c>
      <c r="I31">
        <f t="shared" si="7"/>
        <v>356137811208014</v>
      </c>
    </row>
    <row r="32" spans="1:9" x14ac:dyDescent="0.25">
      <c r="A32">
        <f t="shared" si="8"/>
        <v>8635166</v>
      </c>
      <c r="B32">
        <f t="shared" si="1"/>
        <v>8635167</v>
      </c>
      <c r="C32">
        <f t="shared" si="9"/>
        <v>8635167</v>
      </c>
      <c r="D32">
        <f t="shared" si="10"/>
        <v>356137843815576</v>
      </c>
      <c r="F32">
        <f t="shared" si="4"/>
        <v>41242728</v>
      </c>
      <c r="G32">
        <f t="shared" si="5"/>
        <v>41242729</v>
      </c>
      <c r="H32">
        <f t="shared" si="6"/>
        <v>41242729</v>
      </c>
      <c r="I32">
        <f t="shared" si="7"/>
        <v>356137811208014</v>
      </c>
    </row>
    <row r="33" spans="1:9" x14ac:dyDescent="0.25">
      <c r="A33">
        <f t="shared" si="8"/>
        <v>8635166</v>
      </c>
      <c r="B33">
        <f t="shared" si="1"/>
        <v>8635167</v>
      </c>
      <c r="C33">
        <f t="shared" si="9"/>
        <v>8635167</v>
      </c>
      <c r="D33">
        <f t="shared" si="10"/>
        <v>356137843815576</v>
      </c>
      <c r="F33">
        <f t="shared" si="4"/>
        <v>41242728</v>
      </c>
      <c r="G33">
        <f t="shared" si="5"/>
        <v>41242729</v>
      </c>
      <c r="H33">
        <f t="shared" si="6"/>
        <v>41242729</v>
      </c>
      <c r="I33">
        <f t="shared" si="7"/>
        <v>356137811208014</v>
      </c>
    </row>
    <row r="34" spans="1:9" x14ac:dyDescent="0.25">
      <c r="A34">
        <f t="shared" si="8"/>
        <v>8635166</v>
      </c>
      <c r="B34">
        <f t="shared" si="1"/>
        <v>8635167</v>
      </c>
      <c r="C34">
        <f t="shared" si="9"/>
        <v>8635167</v>
      </c>
      <c r="D34">
        <f t="shared" si="10"/>
        <v>356137843815576</v>
      </c>
      <c r="F34">
        <f t="shared" si="4"/>
        <v>41242728</v>
      </c>
      <c r="G34">
        <f t="shared" si="5"/>
        <v>41242729</v>
      </c>
      <c r="H34">
        <f t="shared" si="6"/>
        <v>41242729</v>
      </c>
      <c r="I34">
        <f t="shared" si="7"/>
        <v>356137811208014</v>
      </c>
    </row>
  </sheetData>
  <conditionalFormatting sqref="D5:D34">
    <cfRule type="cellIs" dxfId="3" priority="2" operator="greaterThan">
      <formula>$A$2</formula>
    </cfRule>
  </conditionalFormatting>
  <conditionalFormatting sqref="I5:I34">
    <cfRule type="cellIs" dxfId="2" priority="1" operator="lessThan">
      <formula>$A$2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2A8D-2819-4EE8-9237-EAAF1DE66F78}">
  <dimension ref="A1:E2"/>
  <sheetViews>
    <sheetView tabSelected="1" workbookViewId="0">
      <selection activeCell="B6" sqref="B6"/>
    </sheetView>
  </sheetViews>
  <sheetFormatPr defaultRowHeight="15" x14ac:dyDescent="0.25"/>
  <sheetData>
    <row r="1" spans="1:5" x14ac:dyDescent="0.25">
      <c r="A1" t="s">
        <v>0</v>
      </c>
      <c r="B1">
        <v>49</v>
      </c>
      <c r="C1">
        <v>87</v>
      </c>
      <c r="D1">
        <v>78</v>
      </c>
      <c r="E1">
        <v>95</v>
      </c>
    </row>
    <row r="2" spans="1:5" x14ac:dyDescent="0.25">
      <c r="A2" t="s">
        <v>1</v>
      </c>
      <c r="B2">
        <v>356</v>
      </c>
      <c r="C2">
        <v>1378</v>
      </c>
      <c r="D2">
        <v>1502</v>
      </c>
      <c r="E2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Feld</dc:creator>
  <cp:lastModifiedBy>Thomas Feld</cp:lastModifiedBy>
  <dcterms:created xsi:type="dcterms:W3CDTF">2023-12-08T19:54:52Z</dcterms:created>
  <dcterms:modified xsi:type="dcterms:W3CDTF">2023-12-08T20:45:02Z</dcterms:modified>
</cp:coreProperties>
</file>